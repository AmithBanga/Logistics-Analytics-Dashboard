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903d762e49d187e0/Desktop/"/>
    </mc:Choice>
  </mc:AlternateContent>
  <xr:revisionPtr revIDLastSave="4" documentId="8_{DBF40287-D0D9-4AF8-86A3-686125C90004}" xr6:coauthVersionLast="47" xr6:coauthVersionMax="47" xr10:uidLastSave="{97342EA6-DE3F-4BA3-BABC-8CA4B3A7C721}"/>
  <bookViews>
    <workbookView xWindow="11205" yWindow="465" windowWidth="19410" windowHeight="20880" activeTab="1" xr2:uid="{F797CAAE-CD3D-46F1-A61D-5390FA2266A9}"/>
  </bookViews>
  <sheets>
    <sheet name="Calculations" sheetId="1" r:id="rId1"/>
    <sheet name="Dashboard" sheetId="8" r:id="rId2"/>
  </sheets>
  <definedNames>
    <definedName name="Slicer_Carrier">#N/A</definedName>
    <definedName name="Timeline_Date">#N/A</definedName>
  </definedNames>
  <calcPr calcId="191029"/>
  <pivotCaches>
    <pivotCache cacheId="236" r:id="rId3"/>
    <pivotCache cacheId="243" r:id="rId4"/>
    <pivotCache cacheId="232" r:id="rId5"/>
    <pivotCache cacheId="230" r:id="rId6"/>
    <pivotCache cacheId="234" r:id="rId7"/>
    <pivotCache cacheId="241" r:id="rId8"/>
    <pivotCache cacheId="261" r:id="rId9"/>
  </pivotCaches>
  <extLst>
    <ext xmlns:x14="http://schemas.microsoft.com/office/spreadsheetml/2009/9/main" uri="{876F7934-8845-4945-9796-88D515C7AA90}">
      <x14:pivotCaches>
        <pivotCache cacheId="16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7"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gistics_dataset_9098c8c3-ab01-4da8-bbee-a837a8c1e6fb" name="logistics_dataset" connection="Query - logistics_dataset"/>
          <x15:modelTable id="KPI measures_eb801e18-8703-47f3-ae5d-132df0a591bd" name="KPI measures" connection="Query - KPI measures"/>
          <x15:modelTable id="Calendar" name="Calendar" connection="Connection"/>
        </x15:modelTables>
        <x15:modelRelationships>
          <x15:modelRelationship fromTable="logistics_dataset" fromColumn="Shipment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K7" i="1"/>
  <c r="E4" i="1"/>
  <c r="G4" i="1"/>
  <c r="F4" i="1"/>
  <c r="D4" i="1"/>
  <c r="C4"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E5E81-1D1A-4295-B1EF-8254DB2B710E}" name="Connection" type="104" refreshedVersion="0" background="1">
    <extLst>
      <ext xmlns:x15="http://schemas.microsoft.com/office/spreadsheetml/2010/11/main" uri="{DE250136-89BD-433C-8126-D09CA5730AF9}">
        <x15:connection id="Calendar"/>
      </ext>
    </extLst>
  </connection>
  <connection id="2" xr16:uid="{CA151E40-9EAA-4DC7-8B7A-81C105658162}" name="Query - KPI measures" description="Connection to the 'KPI measures' query in the workbook." type="100" refreshedVersion="8" minRefreshableVersion="5">
    <extLst>
      <ext xmlns:x15="http://schemas.microsoft.com/office/spreadsheetml/2010/11/main" uri="{DE250136-89BD-433C-8126-D09CA5730AF9}">
        <x15:connection id="3b63157d-500a-4377-b6bb-8ad47874b0b3"/>
      </ext>
    </extLst>
  </connection>
  <connection id="3" xr16:uid="{8378EF80-5B99-492A-8DE2-493AE0997487}" name="Query - logistics_dataset" description="Connection to the 'logistics_dataset' query in the workbook." type="100" refreshedVersion="8" minRefreshableVersion="5">
    <extLst>
      <ext xmlns:x15="http://schemas.microsoft.com/office/spreadsheetml/2010/11/main" uri="{DE250136-89BD-433C-8126-D09CA5730AF9}">
        <x15:connection id="78ac55a1-c4d6-417b-ad71-edef0989a66c"/>
      </ext>
    </extLst>
  </connection>
  <connection id="4" xr16:uid="{217844C9-98F2-4F6C-852E-C9B1A27340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<sst xmlns="http://schemas.openxmlformats.org/spreadsheetml/2006/main" count="73" uniqueCount="43">
  <si>
    <t>Total Shipments</t>
  </si>
  <si>
    <t>Delivery Count</t>
  </si>
  <si>
    <t>Delivery Rate</t>
  </si>
  <si>
    <t>AVG. Cost</t>
  </si>
  <si>
    <t>Avg. Transit Day(s)</t>
  </si>
  <si>
    <t>Avg. Miles Traveled</t>
  </si>
  <si>
    <t>Avg. Weight(kg)</t>
  </si>
  <si>
    <t>Main KPIs</t>
  </si>
  <si>
    <t>Shipment &amp; Delivery Count by Month</t>
  </si>
  <si>
    <t>Jan</t>
  </si>
  <si>
    <t>Feb</t>
  </si>
  <si>
    <t>Mar</t>
  </si>
  <si>
    <t>Apr</t>
  </si>
  <si>
    <t>May</t>
  </si>
  <si>
    <t>Jun</t>
  </si>
  <si>
    <t>Jul</t>
  </si>
  <si>
    <t>Aug</t>
  </si>
  <si>
    <t>Sep</t>
  </si>
  <si>
    <t>Oct</t>
  </si>
  <si>
    <t>Nov</t>
  </si>
  <si>
    <t>Dec</t>
  </si>
  <si>
    <t>Month</t>
  </si>
  <si>
    <t>Amazon</t>
  </si>
  <si>
    <t>DHL</t>
  </si>
  <si>
    <t>FedEx</t>
  </si>
  <si>
    <t>LaserShip</t>
  </si>
  <si>
    <t>OnTrac</t>
  </si>
  <si>
    <t>UPS</t>
  </si>
  <si>
    <t>USPS</t>
  </si>
  <si>
    <t>Avg. Carrier Cost</t>
  </si>
  <si>
    <t>Carrier</t>
  </si>
  <si>
    <t>Carrier Delivery Rate</t>
  </si>
  <si>
    <t>Carrier Avg. Weight(kg)</t>
  </si>
  <si>
    <t>Carrier Avg. Delivery Day(s)</t>
  </si>
  <si>
    <t>Top 7 Destination by Delivery Rate</t>
  </si>
  <si>
    <t>Atlanta</t>
  </si>
  <si>
    <t>Chicago</t>
  </si>
  <si>
    <t>Denver</t>
  </si>
  <si>
    <t>Houston</t>
  </si>
  <si>
    <t>Miami</t>
  </si>
  <si>
    <t>Minneapolis</t>
  </si>
  <si>
    <t>Portland</t>
  </si>
  <si>
    <t>Destination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</si>
</sst>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quot;$&quot;#,##0.00"/>
  </numFmts>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817DD4"/>
        <bgColor indexed="64"/>
      </patternFill>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1" fontId="0" fillId="0" borderId="0" xfId="0" applyNumberFormat="1"/>
    <xf numFmtId="164" fontId="0" fillId="0" borderId="0" xfId="0" applyNumberFormat="1"/>
    <xf numFmtId="2" fontId="0" fillId="0" borderId="0" xfId="0" applyNumberFormat="1"/>
    <xf numFmtId="0" fontId="1" fillId="2"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9" fontId="0" fillId="0" borderId="0" xfId="0" applyNumberFormat="1"/>
    <xf numFmtId="166" fontId="0" fillId="0" borderId="0" xfId="0" applyNumberFormat="1"/>
    <xf numFmtId="0" fontId="0" fillId="3" borderId="0" xfId="0" applyFill="1"/>
  </cellXfs>
  <cellStyles count="1">
    <cellStyle name="Normal" xfId="0" builtinId="0"/>
  </cellStyles>
  <dxfs count="9">
    <dxf>
      <font>
        <sz val="11"/>
        <color theme="0"/>
        <name val="Aptos Narrow"/>
        <family val="2"/>
        <scheme val="minor"/>
      </font>
      <fill>
        <patternFill patternType="none">
          <bgColor auto="1"/>
        </patternFill>
      </fill>
    </dxf>
    <dxf>
      <font>
        <sz val="11"/>
        <color theme="0"/>
        <name val="Segoe UI Semibold"/>
        <family val="2"/>
        <scheme val="none"/>
      </font>
      <fill>
        <patternFill patternType="solid">
          <fgColor theme="0"/>
          <bgColor rgb="FF181A2F"/>
        </patternFill>
      </fill>
      <border diagonalUp="0" diagonalDown="0">
        <left/>
        <right/>
        <top/>
        <bottom/>
        <vertical/>
        <horizontal/>
      </border>
    </dxf>
    <dxf>
      <font>
        <b/>
        <sz val="11"/>
        <color theme="1"/>
      </font>
    </dxf>
    <dxf>
      <font>
        <sz val="11"/>
        <color theme="0"/>
        <name val="Segoe UI Semibold"/>
        <family val="2"/>
        <scheme val="none"/>
      </font>
      <fill>
        <patternFill patternType="solid">
          <fgColor theme="0"/>
          <bgColor rgb="FF181A2F"/>
        </patternFill>
      </fill>
      <border diagonalUp="0" diagonalDown="0">
        <left/>
        <right/>
        <top/>
        <bottom/>
        <vertical/>
        <horizontal/>
      </border>
    </dxf>
    <dxf>
      <font>
        <sz val="12"/>
        <color theme="0"/>
        <name val="Segoe UI Semibold"/>
        <family val="2"/>
        <scheme val="none"/>
      </font>
      <fill>
        <patternFill>
          <bgColor rgb="FF181A2F"/>
        </patternFill>
      </fill>
      <border diagonalUp="0" diagonalDown="0">
        <left/>
        <right/>
        <top/>
        <bottom/>
        <vertical/>
        <horizontal/>
      </border>
    </dxf>
    <dxf>
      <font>
        <sz val="12"/>
        <name val="Segoe UI Semibold"/>
        <family val="2"/>
        <scheme val="none"/>
      </font>
      <fill>
        <patternFill>
          <bgColor rgb="FF181A2F"/>
        </patternFill>
      </fill>
      <border diagonalUp="0" diagonalDown="0">
        <left/>
        <right/>
        <top/>
        <bottom/>
        <vertical/>
        <horizontal/>
      </border>
    </dxf>
    <dxf>
      <numFmt numFmtId="166" formatCode="&quot;$&quot;#,##0.00"/>
    </dxf>
    <dxf>
      <numFmt numFmtId="13" formatCode="0%"/>
    </dxf>
    <dxf>
      <numFmt numFmtId="165" formatCode="0.0"/>
    </dxf>
  </dxfs>
  <tableStyles count="4" defaultTableStyle="TableStyleMedium2" defaultPivotStyle="PivotStyleLight16">
    <tableStyle name="Slicer Style 1" pivot="0" table="0" count="1" xr9:uid="{0CEBBECE-96F3-4922-AE30-F9DCD234B3E6}">
      <tableStyleElement type="wholeTable" dxfId="5"/>
    </tableStyle>
    <tableStyle name="Slicer Style 2" pivot="0" table="0" count="1" xr9:uid="{15A88920-746B-4FC6-9803-BC09131B362E}">
      <tableStyleElement type="wholeTable" dxfId="4"/>
    </tableStyle>
    <tableStyle name="Timeline Style 1" pivot="0" table="0" count="8" xr9:uid="{AE7D3EEF-B47D-4AB9-B472-5D94BCBA4681}">
      <tableStyleElement type="wholeTable" dxfId="1"/>
      <tableStyleElement type="headerRow" dxfId="0"/>
    </tableStyle>
    <tableStyle name="Timeline Style 2" pivot="0" table="0" count="8" xr9:uid="{1E92A176-155A-4DCB-A74A-38BD30830BD1}">
      <tableStyleElement type="wholeTable" dxfId="3"/>
      <tableStyleElement type="headerRow" dxfId="2"/>
    </tableStyle>
  </tableStyles>
  <colors>
    <mruColors>
      <color rgb="FF817DD4"/>
      <color rgb="FF6D71EF"/>
      <color rgb="FF191A2E"/>
      <color rgb="FF181A2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border diagonalUp="0" diagonalDown="0">
            <left/>
            <right/>
            <top/>
            <bottom/>
            <vertical/>
            <horizontal/>
          </border>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Dashboard.xlsx]Calculations!PivotTable2</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817DD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Calculations!$C$7</c:f>
              <c:strCache>
                <c:ptCount val="1"/>
                <c:pt idx="0">
                  <c:v>Total Shipments</c:v>
                </c:pt>
              </c:strCache>
            </c:strRef>
          </c:tx>
          <c:spPr>
            <a:ln w="25400" cap="rnd">
              <a:solidFill>
                <a:schemeClr val="bg1"/>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Calculations!$C$8:$C$19</c:f>
              <c:numCache>
                <c:formatCode>#,##0</c:formatCode>
                <c:ptCount val="12"/>
                <c:pt idx="0">
                  <c:v>163</c:v>
                </c:pt>
                <c:pt idx="1">
                  <c:v>139</c:v>
                </c:pt>
                <c:pt idx="2">
                  <c:v>167</c:v>
                </c:pt>
                <c:pt idx="3">
                  <c:v>162</c:v>
                </c:pt>
                <c:pt idx="4">
                  <c:v>173</c:v>
                </c:pt>
                <c:pt idx="5">
                  <c:v>164</c:v>
                </c:pt>
                <c:pt idx="6">
                  <c:v>166</c:v>
                </c:pt>
                <c:pt idx="7">
                  <c:v>182</c:v>
                </c:pt>
                <c:pt idx="8">
                  <c:v>163</c:v>
                </c:pt>
                <c:pt idx="9">
                  <c:v>173</c:v>
                </c:pt>
                <c:pt idx="10">
                  <c:v>178</c:v>
                </c:pt>
                <c:pt idx="11">
                  <c:v>170</c:v>
                </c:pt>
              </c:numCache>
            </c:numRef>
          </c:val>
          <c:smooth val="1"/>
          <c:extLst>
            <c:ext xmlns:c16="http://schemas.microsoft.com/office/drawing/2014/chart" uri="{C3380CC4-5D6E-409C-BE32-E72D297353CC}">
              <c16:uniqueId val="{00000000-36F2-42A3-8928-ADDB421E70F7}"/>
            </c:ext>
          </c:extLst>
        </c:ser>
        <c:ser>
          <c:idx val="1"/>
          <c:order val="1"/>
          <c:tx>
            <c:strRef>
              <c:f>Calculations!$D$7</c:f>
              <c:strCache>
                <c:ptCount val="1"/>
                <c:pt idx="0">
                  <c:v>Delivery Count</c:v>
                </c:pt>
              </c:strCache>
            </c:strRef>
          </c:tx>
          <c:spPr>
            <a:ln w="25400" cap="rnd">
              <a:solidFill>
                <a:srgbClr val="817DD4"/>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Calculations!$D$8:$D$19</c:f>
              <c:numCache>
                <c:formatCode>0</c:formatCode>
                <c:ptCount val="12"/>
                <c:pt idx="0">
                  <c:v>137</c:v>
                </c:pt>
                <c:pt idx="1">
                  <c:v>113</c:v>
                </c:pt>
                <c:pt idx="2">
                  <c:v>138</c:v>
                </c:pt>
                <c:pt idx="3">
                  <c:v>133</c:v>
                </c:pt>
                <c:pt idx="4">
                  <c:v>143</c:v>
                </c:pt>
                <c:pt idx="5">
                  <c:v>136</c:v>
                </c:pt>
                <c:pt idx="6">
                  <c:v>139</c:v>
                </c:pt>
                <c:pt idx="7">
                  <c:v>145</c:v>
                </c:pt>
                <c:pt idx="8">
                  <c:v>138</c:v>
                </c:pt>
                <c:pt idx="9">
                  <c:v>149</c:v>
                </c:pt>
                <c:pt idx="10">
                  <c:v>145</c:v>
                </c:pt>
                <c:pt idx="11">
                  <c:v>132</c:v>
                </c:pt>
              </c:numCache>
            </c:numRef>
          </c:val>
          <c:smooth val="1"/>
          <c:extLst>
            <c:ext xmlns:c16="http://schemas.microsoft.com/office/drawing/2014/chart" uri="{C3380CC4-5D6E-409C-BE32-E72D297353CC}">
              <c16:uniqueId val="{00000001-36F2-42A3-8928-ADDB421E70F7}"/>
            </c:ext>
          </c:extLst>
        </c:ser>
        <c:dLbls>
          <c:showLegendKey val="0"/>
          <c:showVal val="0"/>
          <c:showCatName val="0"/>
          <c:showSerName val="0"/>
          <c:showPercent val="0"/>
          <c:showBubbleSize val="0"/>
        </c:dLbls>
        <c:smooth val="0"/>
        <c:axId val="244200063"/>
        <c:axId val="244200543"/>
      </c:lineChart>
      <c:catAx>
        <c:axId val="2442000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4200543"/>
        <c:crosses val="autoZero"/>
        <c:auto val="1"/>
        <c:lblAlgn val="ctr"/>
        <c:lblOffset val="100"/>
        <c:noMultiLvlLbl val="0"/>
      </c:catAx>
      <c:valAx>
        <c:axId val="244200543"/>
        <c:scaling>
          <c:orientation val="minMax"/>
        </c:scaling>
        <c:delete val="1"/>
        <c:axPos val="l"/>
        <c:numFmt formatCode="#,##0" sourceLinked="1"/>
        <c:majorTickMark val="none"/>
        <c:minorTickMark val="none"/>
        <c:tickLblPos val="nextTo"/>
        <c:crossAx val="2442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D71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8433456144812"/>
          <c:y val="6.7346917130992404E-2"/>
          <c:w val="0.72602000541574008"/>
          <c:h val="0.86530616573801522"/>
        </c:manualLayout>
      </c:layout>
      <c:barChart>
        <c:barDir val="bar"/>
        <c:grouping val="clustered"/>
        <c:varyColors val="0"/>
        <c:ser>
          <c:idx val="0"/>
          <c:order val="0"/>
          <c:tx>
            <c:strRef>
              <c:f>Calculations!$G$7</c:f>
              <c:strCache>
                <c:ptCount val="1"/>
                <c:pt idx="0">
                  <c:v>Total</c:v>
                </c:pt>
              </c:strCache>
            </c:strRef>
          </c:tx>
          <c:spPr>
            <a:solidFill>
              <a:srgbClr val="6D71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Calculations!$F$8:$F$14</c:f>
              <c:strCache>
                <c:ptCount val="7"/>
                <c:pt idx="0">
                  <c:v>Amazon</c:v>
                </c:pt>
                <c:pt idx="1">
                  <c:v>DHL</c:v>
                </c:pt>
                <c:pt idx="2">
                  <c:v>FedEx</c:v>
                </c:pt>
                <c:pt idx="3">
                  <c:v>LaserShip</c:v>
                </c:pt>
                <c:pt idx="4">
                  <c:v>OnTrac</c:v>
                </c:pt>
                <c:pt idx="5">
                  <c:v>UPS</c:v>
                </c:pt>
                <c:pt idx="6">
                  <c:v>USPS</c:v>
                </c:pt>
              </c:strCache>
            </c:strRef>
          </c:cat>
          <c:val>
            <c:numRef>
              <c:f>Calculations!$G$8:$G$14</c:f>
              <c:numCache>
                <c:formatCode>"$"#,##0.00</c:formatCode>
                <c:ptCount val="7"/>
                <c:pt idx="0">
                  <c:v>193.97339416058395</c:v>
                </c:pt>
                <c:pt idx="1">
                  <c:v>221.58569395017796</c:v>
                </c:pt>
                <c:pt idx="2">
                  <c:v>217.89291525423729</c:v>
                </c:pt>
                <c:pt idx="3">
                  <c:v>207.59366336633661</c:v>
                </c:pt>
                <c:pt idx="4">
                  <c:v>184.75715719063544</c:v>
                </c:pt>
                <c:pt idx="5">
                  <c:v>229.06425781249999</c:v>
                </c:pt>
                <c:pt idx="6">
                  <c:v>183.17934931506849</c:v>
                </c:pt>
              </c:numCache>
            </c:numRef>
          </c:val>
          <c:extLst>
            <c:ext xmlns:c16="http://schemas.microsoft.com/office/drawing/2014/chart" uri="{C3380CC4-5D6E-409C-BE32-E72D297353CC}">
              <c16:uniqueId val="{00000000-8CA9-4398-A3B8-9562CAF168CB}"/>
            </c:ext>
          </c:extLst>
        </c:ser>
        <c:dLbls>
          <c:dLblPos val="outEnd"/>
          <c:showLegendKey val="0"/>
          <c:showVal val="1"/>
          <c:showCatName val="0"/>
          <c:showSerName val="0"/>
          <c:showPercent val="0"/>
          <c:showBubbleSize val="0"/>
        </c:dLbls>
        <c:gapWidth val="182"/>
        <c:axId val="203324703"/>
        <c:axId val="203324223"/>
      </c:barChart>
      <c:catAx>
        <c:axId val="203324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203324223"/>
        <c:crosses val="autoZero"/>
        <c:auto val="1"/>
        <c:lblAlgn val="ctr"/>
        <c:lblOffset val="100"/>
        <c:noMultiLvlLbl val="0"/>
      </c:catAx>
      <c:valAx>
        <c:axId val="203324223"/>
        <c:scaling>
          <c:orientation val="minMax"/>
        </c:scaling>
        <c:delete val="1"/>
        <c:axPos val="b"/>
        <c:numFmt formatCode="&quot;$&quot;#,##0.00" sourceLinked="1"/>
        <c:majorTickMark val="none"/>
        <c:minorTickMark val="none"/>
        <c:tickLblPos val="nextTo"/>
        <c:crossAx val="20332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ysClr val="window" lastClr="FFFF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solidFill>
          <a:ln w="19050">
            <a:solidFill>
              <a:schemeClr val="lt1"/>
            </a:solidFill>
          </a:ln>
          <a:effectLst/>
        </c:spPr>
      </c:pivotFmt>
      <c:pivotFmt>
        <c:idx val="11"/>
        <c:spPr>
          <a:solidFill>
            <a:sysClr val="window" lastClr="FFFFFF"/>
          </a:solidFill>
          <a:ln w="19050">
            <a:solidFill>
              <a:schemeClr val="lt1"/>
            </a:solidFill>
          </a:ln>
          <a:effectLst/>
        </c:spPr>
      </c:pivotFmt>
      <c:pivotFmt>
        <c:idx val="12"/>
        <c:spPr>
          <a:solidFill>
            <a:sysClr val="window" lastClr="FFFFFF"/>
          </a:solidFill>
          <a:ln w="19050">
            <a:solidFill>
              <a:schemeClr val="lt1"/>
            </a:solidFill>
          </a:ln>
          <a:effectLst/>
        </c:spPr>
      </c:pivotFmt>
      <c:pivotFmt>
        <c:idx val="13"/>
        <c:spPr>
          <a:solidFill>
            <a:sysClr val="window" lastClr="FFFFFF"/>
          </a:solidFill>
          <a:ln w="19050">
            <a:solidFill>
              <a:schemeClr val="lt1"/>
            </a:solidFill>
          </a:ln>
          <a:effectLst/>
        </c:spPr>
      </c:pivotFmt>
      <c:pivotFmt>
        <c:idx val="14"/>
        <c:spPr>
          <a:solidFill>
            <a:sysClr val="window" lastClr="FFFFFF"/>
          </a:solidFill>
          <a:ln w="19050">
            <a:solidFill>
              <a:schemeClr val="lt1"/>
            </a:solidFill>
          </a:ln>
          <a:effectLst/>
        </c:spPr>
      </c:pivotFmt>
      <c:pivotFmt>
        <c:idx val="15"/>
        <c:spPr>
          <a:solidFill>
            <a:sysClr val="window" lastClr="FFFFFF"/>
          </a:solidFill>
          <a:ln w="19050">
            <a:solidFill>
              <a:schemeClr val="lt1"/>
            </a:solidFill>
          </a:ln>
          <a:effectLst/>
        </c:spPr>
      </c:pivotFmt>
      <c:pivotFmt>
        <c:idx val="16"/>
        <c:spPr>
          <a:solidFill>
            <a:sysClr val="window" lastClr="FFFFFF"/>
          </a:solidFill>
          <a:ln w="19050">
            <a:solidFill>
              <a:schemeClr val="lt1"/>
            </a:solidFill>
          </a:ln>
          <a:effectLst/>
        </c:spPr>
      </c:pivotFmt>
    </c:pivotFmts>
    <c:plotArea>
      <c:layout/>
      <c:doughnutChart>
        <c:varyColors val="1"/>
        <c:ser>
          <c:idx val="0"/>
          <c:order val="0"/>
          <c:tx>
            <c:strRef>
              <c:f>Calculations!$J$7</c:f>
              <c:strCache>
                <c:ptCount val="1"/>
                <c:pt idx="0">
                  <c:v>Total</c:v>
                </c:pt>
              </c:strCache>
            </c:strRef>
          </c:tx>
          <c:spPr>
            <a:solidFill>
              <a:sysClr val="window" lastClr="FFFFFF"/>
            </a:solidFill>
          </c:spPr>
          <c:dPt>
            <c:idx val="0"/>
            <c:bubble3D val="0"/>
            <c:spPr>
              <a:solidFill>
                <a:sysClr val="window" lastClr="FFFFFF"/>
              </a:solidFill>
              <a:ln w="19050">
                <a:solidFill>
                  <a:schemeClr val="lt1"/>
                </a:solidFill>
              </a:ln>
              <a:effectLst/>
            </c:spPr>
            <c:extLst>
              <c:ext xmlns:c16="http://schemas.microsoft.com/office/drawing/2014/chart" uri="{C3380CC4-5D6E-409C-BE32-E72D297353CC}">
                <c16:uniqueId val="{00000001-D1D3-4474-8949-D7EAB3286B41}"/>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D1D3-4474-8949-D7EAB3286B41}"/>
              </c:ext>
            </c:extLst>
          </c:dPt>
          <c:dPt>
            <c:idx val="2"/>
            <c:bubble3D val="0"/>
            <c:spPr>
              <a:solidFill>
                <a:sysClr val="window" lastClr="FFFFFF"/>
              </a:solidFill>
              <a:ln w="19050">
                <a:solidFill>
                  <a:schemeClr val="lt1"/>
                </a:solidFill>
              </a:ln>
              <a:effectLst/>
            </c:spPr>
            <c:extLst>
              <c:ext xmlns:c16="http://schemas.microsoft.com/office/drawing/2014/chart" uri="{C3380CC4-5D6E-409C-BE32-E72D297353CC}">
                <c16:uniqueId val="{00000005-D1D3-4474-8949-D7EAB3286B41}"/>
              </c:ext>
            </c:extLst>
          </c:dPt>
          <c:dPt>
            <c:idx val="3"/>
            <c:bubble3D val="0"/>
            <c:spPr>
              <a:solidFill>
                <a:sysClr val="window" lastClr="FFFFFF"/>
              </a:solidFill>
              <a:ln w="19050">
                <a:solidFill>
                  <a:schemeClr val="lt1"/>
                </a:solidFill>
              </a:ln>
              <a:effectLst/>
            </c:spPr>
            <c:extLst>
              <c:ext xmlns:c16="http://schemas.microsoft.com/office/drawing/2014/chart" uri="{C3380CC4-5D6E-409C-BE32-E72D297353CC}">
                <c16:uniqueId val="{00000007-D1D3-4474-8949-D7EAB3286B41}"/>
              </c:ext>
            </c:extLst>
          </c:dPt>
          <c:dPt>
            <c:idx val="4"/>
            <c:bubble3D val="0"/>
            <c:spPr>
              <a:solidFill>
                <a:sysClr val="window" lastClr="FFFFFF"/>
              </a:solidFill>
              <a:ln w="19050">
                <a:solidFill>
                  <a:schemeClr val="lt1"/>
                </a:solidFill>
              </a:ln>
              <a:effectLst/>
            </c:spPr>
            <c:extLst>
              <c:ext xmlns:c16="http://schemas.microsoft.com/office/drawing/2014/chart" uri="{C3380CC4-5D6E-409C-BE32-E72D297353CC}">
                <c16:uniqueId val="{00000009-D1D3-4474-8949-D7EAB3286B41}"/>
              </c:ext>
            </c:extLst>
          </c:dPt>
          <c:dPt>
            <c:idx val="5"/>
            <c:bubble3D val="0"/>
            <c:spPr>
              <a:solidFill>
                <a:sysClr val="window" lastClr="FFFFFF"/>
              </a:solidFill>
              <a:ln w="19050">
                <a:solidFill>
                  <a:schemeClr val="lt1"/>
                </a:solidFill>
              </a:ln>
              <a:effectLst/>
            </c:spPr>
            <c:extLst>
              <c:ext xmlns:c16="http://schemas.microsoft.com/office/drawing/2014/chart" uri="{C3380CC4-5D6E-409C-BE32-E72D297353CC}">
                <c16:uniqueId val="{0000000B-D1D3-4474-8949-D7EAB3286B41}"/>
              </c:ext>
            </c:extLst>
          </c:dPt>
          <c:dPt>
            <c:idx val="6"/>
            <c:bubble3D val="0"/>
            <c:spPr>
              <a:solidFill>
                <a:sysClr val="window" lastClr="FFFFFF"/>
              </a:solidFill>
              <a:ln w="19050">
                <a:solidFill>
                  <a:schemeClr val="lt1"/>
                </a:solidFill>
              </a:ln>
              <a:effectLst/>
            </c:spPr>
            <c:extLst>
              <c:ext xmlns:c16="http://schemas.microsoft.com/office/drawing/2014/chart" uri="{C3380CC4-5D6E-409C-BE32-E72D297353CC}">
                <c16:uniqueId val="{0000000D-D1D3-4474-8949-D7EAB3286B41}"/>
              </c:ext>
            </c:extLst>
          </c:dPt>
          <c:cat>
            <c:strRef>
              <c:f>Calculations!$I$8:$I$14</c:f>
              <c:strCache>
                <c:ptCount val="7"/>
                <c:pt idx="0">
                  <c:v>Amazon</c:v>
                </c:pt>
                <c:pt idx="1">
                  <c:v>DHL</c:v>
                </c:pt>
                <c:pt idx="2">
                  <c:v>FedEx</c:v>
                </c:pt>
                <c:pt idx="3">
                  <c:v>LaserShip</c:v>
                </c:pt>
                <c:pt idx="4">
                  <c:v>OnTrac</c:v>
                </c:pt>
                <c:pt idx="5">
                  <c:v>UPS</c:v>
                </c:pt>
                <c:pt idx="6">
                  <c:v>USPS</c:v>
                </c:pt>
              </c:strCache>
            </c:strRef>
          </c:cat>
          <c:val>
            <c:numRef>
              <c:f>Calculations!$J$8:$J$14</c:f>
              <c:numCache>
                <c:formatCode>0%;\-0%;0%</c:formatCode>
                <c:ptCount val="7"/>
                <c:pt idx="0">
                  <c:v>0.79197080291970801</c:v>
                </c:pt>
                <c:pt idx="1">
                  <c:v>0.8220640569395018</c:v>
                </c:pt>
                <c:pt idx="2">
                  <c:v>0.82711864406779656</c:v>
                </c:pt>
                <c:pt idx="3">
                  <c:v>0.81848184818481851</c:v>
                </c:pt>
                <c:pt idx="4">
                  <c:v>0.8294314381270903</c:v>
                </c:pt>
                <c:pt idx="5">
                  <c:v>0.86328125</c:v>
                </c:pt>
                <c:pt idx="6">
                  <c:v>0.81849315068493156</c:v>
                </c:pt>
              </c:numCache>
            </c:numRef>
          </c:val>
          <c:extLst>
            <c:ext xmlns:c16="http://schemas.microsoft.com/office/drawing/2014/chart" uri="{C3380CC4-5D6E-409C-BE32-E72D297353CC}">
              <c16:uniqueId val="{0000000E-D1D3-4474-8949-D7EAB3286B4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Calculations!$G$18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Calculations!$F$19:$F$25</c:f>
              <c:strCache>
                <c:ptCount val="7"/>
                <c:pt idx="0">
                  <c:v>Amazon</c:v>
                </c:pt>
                <c:pt idx="1">
                  <c:v>DHL</c:v>
                </c:pt>
                <c:pt idx="2">
                  <c:v>FedEx</c:v>
                </c:pt>
                <c:pt idx="3">
                  <c:v>LaserShip</c:v>
                </c:pt>
                <c:pt idx="4">
                  <c:v>OnTrac</c:v>
                </c:pt>
                <c:pt idx="5">
                  <c:v>UPS</c:v>
                </c:pt>
                <c:pt idx="6">
                  <c:v>USPS</c:v>
                </c:pt>
              </c:strCache>
            </c:strRef>
          </c:cat>
          <c:val>
            <c:numRef>
              <c:f>Calculations!$G$19:$G$25</c:f>
              <c:numCache>
                <c:formatCode>0.00</c:formatCode>
                <c:ptCount val="7"/>
                <c:pt idx="0">
                  <c:v>26.23868613138686</c:v>
                </c:pt>
                <c:pt idx="1">
                  <c:v>25.019217081850531</c:v>
                </c:pt>
                <c:pt idx="2">
                  <c:v>46.27457627118644</c:v>
                </c:pt>
                <c:pt idx="3">
                  <c:v>28.993729372937295</c:v>
                </c:pt>
                <c:pt idx="4">
                  <c:v>26.569230769230767</c:v>
                </c:pt>
                <c:pt idx="5">
                  <c:v>25.694921874999999</c:v>
                </c:pt>
                <c:pt idx="6">
                  <c:v>31.478082191780825</c:v>
                </c:pt>
              </c:numCache>
            </c:numRef>
          </c:val>
          <c:extLst>
            <c:ext xmlns:c16="http://schemas.microsoft.com/office/drawing/2014/chart" uri="{C3380CC4-5D6E-409C-BE32-E72D297353CC}">
              <c16:uniqueId val="{00000000-0692-4E24-B07C-B68703E24E63}"/>
            </c:ext>
          </c:extLst>
        </c:ser>
        <c:dLbls>
          <c:dLblPos val="outEnd"/>
          <c:showLegendKey val="0"/>
          <c:showVal val="1"/>
          <c:showCatName val="0"/>
          <c:showSerName val="0"/>
          <c:showPercent val="0"/>
          <c:showBubbleSize val="0"/>
        </c:dLbls>
        <c:gapWidth val="182"/>
        <c:axId val="277683663"/>
        <c:axId val="277686063"/>
      </c:barChart>
      <c:catAx>
        <c:axId val="2776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277686063"/>
        <c:crosses val="autoZero"/>
        <c:auto val="1"/>
        <c:lblAlgn val="ctr"/>
        <c:lblOffset val="100"/>
        <c:noMultiLvlLbl val="0"/>
      </c:catAx>
      <c:valAx>
        <c:axId val="277686063"/>
        <c:scaling>
          <c:orientation val="minMax"/>
        </c:scaling>
        <c:delete val="1"/>
        <c:axPos val="b"/>
        <c:numFmt formatCode="0.00" sourceLinked="1"/>
        <c:majorTickMark val="none"/>
        <c:minorTickMark val="none"/>
        <c:tickLblPos val="nextTo"/>
        <c:crossAx val="27768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Calculations!$J$18</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Calculations!$I$19:$I$25</c:f>
              <c:strCache>
                <c:ptCount val="7"/>
                <c:pt idx="0">
                  <c:v>Amazon</c:v>
                </c:pt>
                <c:pt idx="1">
                  <c:v>DHL</c:v>
                </c:pt>
                <c:pt idx="2">
                  <c:v>FedEx</c:v>
                </c:pt>
                <c:pt idx="3">
                  <c:v>LaserShip</c:v>
                </c:pt>
                <c:pt idx="4">
                  <c:v>OnTrac</c:v>
                </c:pt>
                <c:pt idx="5">
                  <c:v>UPS</c:v>
                </c:pt>
                <c:pt idx="6">
                  <c:v>USPS</c:v>
                </c:pt>
              </c:strCache>
            </c:strRef>
          </c:cat>
          <c:val>
            <c:numRef>
              <c:f>Calculations!$J$19:$J$25</c:f>
              <c:numCache>
                <c:formatCode>0.0</c:formatCode>
                <c:ptCount val="7"/>
                <c:pt idx="0">
                  <c:v>4.3248175182481754</c:v>
                </c:pt>
                <c:pt idx="1">
                  <c:v>4.2704626334519569</c:v>
                </c:pt>
                <c:pt idx="2">
                  <c:v>4.3016949152542372</c:v>
                </c:pt>
                <c:pt idx="3">
                  <c:v>4.0363036303630366</c:v>
                </c:pt>
                <c:pt idx="4">
                  <c:v>4.1170568561872907</c:v>
                </c:pt>
                <c:pt idx="5">
                  <c:v>4.19921875</c:v>
                </c:pt>
                <c:pt idx="6">
                  <c:v>4.0479452054794525</c:v>
                </c:pt>
              </c:numCache>
            </c:numRef>
          </c:val>
          <c:extLst>
            <c:ext xmlns:c16="http://schemas.microsoft.com/office/drawing/2014/chart" uri="{C3380CC4-5D6E-409C-BE32-E72D297353CC}">
              <c16:uniqueId val="{00000000-CFE4-4145-B6EB-9A8C3EA5473D}"/>
            </c:ext>
          </c:extLst>
        </c:ser>
        <c:dLbls>
          <c:dLblPos val="outEnd"/>
          <c:showLegendKey val="0"/>
          <c:showVal val="1"/>
          <c:showCatName val="0"/>
          <c:showSerName val="0"/>
          <c:showPercent val="0"/>
          <c:showBubbleSize val="0"/>
        </c:dLbls>
        <c:gapWidth val="182"/>
        <c:axId val="256746719"/>
        <c:axId val="170186399"/>
      </c:barChart>
      <c:catAx>
        <c:axId val="25674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Segoe UI Semibold" panose="020B0702040204020203" pitchFamily="34" charset="0"/>
                <a:ea typeface="+mn-ea"/>
                <a:cs typeface="Segoe UI Semibold" panose="020B0702040204020203" pitchFamily="34" charset="0"/>
              </a:defRPr>
            </a:pPr>
            <a:endParaRPr lang="en-US"/>
          </a:p>
        </c:txPr>
        <c:crossAx val="170186399"/>
        <c:crosses val="autoZero"/>
        <c:auto val="1"/>
        <c:lblAlgn val="ctr"/>
        <c:lblOffset val="100"/>
        <c:noMultiLvlLbl val="0"/>
      </c:catAx>
      <c:valAx>
        <c:axId val="170186399"/>
        <c:scaling>
          <c:orientation val="minMax"/>
        </c:scaling>
        <c:delete val="1"/>
        <c:axPos val="b"/>
        <c:numFmt formatCode="0.0" sourceLinked="1"/>
        <c:majorTickMark val="none"/>
        <c:minorTickMark val="none"/>
        <c:tickLblPos val="nextTo"/>
        <c:crossAx val="25674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Analytics Dashboard.xlsx]Calculations!PivotTable11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D71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Calculations!$N$7</c:f>
              <c:strCache>
                <c:ptCount val="1"/>
                <c:pt idx="0">
                  <c:v>Total</c:v>
                </c:pt>
              </c:strCache>
            </c:strRef>
          </c:tx>
          <c:spPr>
            <a:solidFill>
              <a:srgbClr val="6D71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Calculations!$M$8:$M$14</c:f>
              <c:strCache>
                <c:ptCount val="7"/>
                <c:pt idx="0">
                  <c:v>Atlanta</c:v>
                </c:pt>
                <c:pt idx="1">
                  <c:v>Chicago</c:v>
                </c:pt>
                <c:pt idx="2">
                  <c:v>Denver</c:v>
                </c:pt>
                <c:pt idx="3">
                  <c:v>Houston</c:v>
                </c:pt>
                <c:pt idx="4">
                  <c:v>Miami</c:v>
                </c:pt>
                <c:pt idx="5">
                  <c:v>Minneapolis</c:v>
                </c:pt>
                <c:pt idx="6">
                  <c:v>Portland</c:v>
                </c:pt>
              </c:strCache>
            </c:strRef>
          </c:cat>
          <c:val>
            <c:numRef>
              <c:f>Calculations!$N$8:$N$14</c:f>
              <c:numCache>
                <c:formatCode>0%</c:formatCode>
                <c:ptCount val="7"/>
                <c:pt idx="0">
                  <c:v>0.88721804511278191</c:v>
                </c:pt>
                <c:pt idx="1">
                  <c:v>0.83766233766233766</c:v>
                </c:pt>
                <c:pt idx="2">
                  <c:v>0.852112676056338</c:v>
                </c:pt>
                <c:pt idx="3">
                  <c:v>0.82539682539682535</c:v>
                </c:pt>
                <c:pt idx="4">
                  <c:v>0.82926829268292679</c:v>
                </c:pt>
                <c:pt idx="5">
                  <c:v>0.83783783783783783</c:v>
                </c:pt>
                <c:pt idx="6">
                  <c:v>0.86301369863013699</c:v>
                </c:pt>
              </c:numCache>
            </c:numRef>
          </c:val>
          <c:extLst>
            <c:ext xmlns:c16="http://schemas.microsoft.com/office/drawing/2014/chart" uri="{C3380CC4-5D6E-409C-BE32-E72D297353CC}">
              <c16:uniqueId val="{00000000-938D-4AB4-AFF0-4416BDEABFD2}"/>
            </c:ext>
          </c:extLst>
        </c:ser>
        <c:dLbls>
          <c:dLblPos val="outEnd"/>
          <c:showLegendKey val="0"/>
          <c:showVal val="1"/>
          <c:showCatName val="0"/>
          <c:showSerName val="0"/>
          <c:showPercent val="0"/>
          <c:showBubbleSize val="0"/>
        </c:dLbls>
        <c:gapWidth val="182"/>
        <c:axId val="219170495"/>
        <c:axId val="219172415"/>
      </c:barChart>
      <c:catAx>
        <c:axId val="2191704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219172415"/>
        <c:crosses val="autoZero"/>
        <c:auto val="1"/>
        <c:lblAlgn val="ctr"/>
        <c:lblOffset val="100"/>
        <c:noMultiLvlLbl val="0"/>
      </c:catAx>
      <c:valAx>
        <c:axId val="219172415"/>
        <c:scaling>
          <c:orientation val="minMax"/>
        </c:scaling>
        <c:delete val="1"/>
        <c:axPos val="b"/>
        <c:numFmt formatCode="0%" sourceLinked="1"/>
        <c:majorTickMark val="none"/>
        <c:minorTickMark val="none"/>
        <c:tickLblPos val="nextTo"/>
        <c:crossAx val="21917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10583</xdr:colOff>
      <xdr:row>3</xdr:row>
      <xdr:rowOff>74083</xdr:rowOff>
    </xdr:from>
    <xdr:to>
      <xdr:col>20</xdr:col>
      <xdr:colOff>374759</xdr:colOff>
      <xdr:row>38</xdr:row>
      <xdr:rowOff>33014</xdr:rowOff>
    </xdr:to>
    <xdr:sp macro="" textlink="">
      <xdr:nvSpPr>
        <xdr:cNvPr id="2" name="Rectangle: Rounded Corners 1">
          <a:extLst>
            <a:ext uri="{FF2B5EF4-FFF2-40B4-BE49-F238E27FC236}">
              <a16:creationId xmlns:a16="http://schemas.microsoft.com/office/drawing/2014/main" id="{4E0208BB-A0C2-3566-B120-29D4295AEC2C}"/>
            </a:ext>
          </a:extLst>
        </xdr:cNvPr>
        <xdr:cNvSpPr/>
      </xdr:nvSpPr>
      <xdr:spPr>
        <a:xfrm>
          <a:off x="624416" y="645583"/>
          <a:ext cx="12027010" cy="6626431"/>
        </a:xfrm>
        <a:prstGeom prst="roundRect">
          <a:avLst>
            <a:gd name="adj" fmla="val 3226"/>
          </a:avLst>
        </a:prstGeom>
        <a:gradFill>
          <a:gsLst>
            <a:gs pos="14000">
              <a:srgbClr val="2E2E62"/>
            </a:gs>
            <a:gs pos="49000">
              <a:schemeClr val="tx1"/>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48280</xdr:colOff>
      <xdr:row>6</xdr:row>
      <xdr:rowOff>80851</xdr:rowOff>
    </xdr:from>
    <xdr:to>
      <xdr:col>3</xdr:col>
      <xdr:colOff>383561</xdr:colOff>
      <xdr:row>37</xdr:row>
      <xdr:rowOff>149431</xdr:rowOff>
    </xdr:to>
    <xdr:sp macro="" textlink="">
      <xdr:nvSpPr>
        <xdr:cNvPr id="3" name="Rectangle 2">
          <a:extLst>
            <a:ext uri="{FF2B5EF4-FFF2-40B4-BE49-F238E27FC236}">
              <a16:creationId xmlns:a16="http://schemas.microsoft.com/office/drawing/2014/main" id="{BB1641FD-5633-18DF-58D3-4F8E288ED6F9}"/>
            </a:ext>
          </a:extLst>
        </xdr:cNvPr>
        <xdr:cNvSpPr/>
      </xdr:nvSpPr>
      <xdr:spPr>
        <a:xfrm>
          <a:off x="657880" y="1223851"/>
          <a:ext cx="1554481" cy="5974080"/>
        </a:xfrm>
        <a:prstGeom prst="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117318</xdr:colOff>
      <xdr:row>6</xdr:row>
      <xdr:rowOff>154107</xdr:rowOff>
    </xdr:from>
    <xdr:to>
      <xdr:col>19</xdr:col>
      <xdr:colOff>587376</xdr:colOff>
      <xdr:row>37</xdr:row>
      <xdr:rowOff>177189</xdr:rowOff>
    </xdr:to>
    <xdr:grpSp>
      <xdr:nvGrpSpPr>
        <xdr:cNvPr id="4" name="Group 3">
          <a:extLst>
            <a:ext uri="{FF2B5EF4-FFF2-40B4-BE49-F238E27FC236}">
              <a16:creationId xmlns:a16="http://schemas.microsoft.com/office/drawing/2014/main" id="{7834C97C-5547-9CB5-835E-0D704BEBB4FE}"/>
            </a:ext>
          </a:extLst>
        </xdr:cNvPr>
        <xdr:cNvGrpSpPr/>
      </xdr:nvGrpSpPr>
      <xdr:grpSpPr>
        <a:xfrm>
          <a:off x="2572651" y="1297107"/>
          <a:ext cx="9677558" cy="5928582"/>
          <a:chOff x="2209800" y="594360"/>
          <a:chExt cx="9616439" cy="5928582"/>
        </a:xfrm>
      </xdr:grpSpPr>
      <xdr:sp macro="" textlink="">
        <xdr:nvSpPr>
          <xdr:cNvPr id="6" name="Rectangle: Rounded Corners 5">
            <a:extLst>
              <a:ext uri="{FF2B5EF4-FFF2-40B4-BE49-F238E27FC236}">
                <a16:creationId xmlns:a16="http://schemas.microsoft.com/office/drawing/2014/main" id="{4341E7BA-C50A-88A5-EF5A-5647D11B208F}"/>
              </a:ext>
            </a:extLst>
          </xdr:cNvPr>
          <xdr:cNvSpPr/>
        </xdr:nvSpPr>
        <xdr:spPr>
          <a:xfrm>
            <a:off x="2209800" y="594360"/>
            <a:ext cx="1554480" cy="1234440"/>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AC91C924-AEE8-A1D1-8AEF-9A80F3CE4132}"/>
              </a:ext>
            </a:extLst>
          </xdr:cNvPr>
          <xdr:cNvSpPr/>
        </xdr:nvSpPr>
        <xdr:spPr>
          <a:xfrm>
            <a:off x="3865047" y="594360"/>
            <a:ext cx="1295400" cy="1234440"/>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1F8C43A0-FDE8-74E2-3A6F-942909A522C9}"/>
              </a:ext>
            </a:extLst>
          </xdr:cNvPr>
          <xdr:cNvSpPr/>
        </xdr:nvSpPr>
        <xdr:spPr>
          <a:xfrm>
            <a:off x="9449714" y="612173"/>
            <a:ext cx="2376525" cy="2118779"/>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1669DE3D-11C0-F3F4-335C-3757339D9EFC}"/>
              </a:ext>
            </a:extLst>
          </xdr:cNvPr>
          <xdr:cNvSpPr/>
        </xdr:nvSpPr>
        <xdr:spPr>
          <a:xfrm>
            <a:off x="5261214" y="594360"/>
            <a:ext cx="1295400" cy="1234440"/>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79475043-8DD1-74D8-BA85-834793D53149}"/>
              </a:ext>
            </a:extLst>
          </xdr:cNvPr>
          <xdr:cNvSpPr/>
        </xdr:nvSpPr>
        <xdr:spPr>
          <a:xfrm>
            <a:off x="6657381" y="594360"/>
            <a:ext cx="1295400" cy="1234440"/>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571D8D65-AE8C-AA86-3C53-BA5FE27BADA8}"/>
              </a:ext>
            </a:extLst>
          </xdr:cNvPr>
          <xdr:cNvSpPr/>
        </xdr:nvSpPr>
        <xdr:spPr>
          <a:xfrm>
            <a:off x="8053548" y="612174"/>
            <a:ext cx="1295400" cy="1234440"/>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2BA85A87-0456-F515-5C4F-BA31C5787245}"/>
              </a:ext>
            </a:extLst>
          </xdr:cNvPr>
          <xdr:cNvSpPr/>
        </xdr:nvSpPr>
        <xdr:spPr>
          <a:xfrm>
            <a:off x="5908914" y="2020488"/>
            <a:ext cx="3290802" cy="2070066"/>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C7AB052D-DCE6-F31F-0F36-A7749FEAF9E1}"/>
              </a:ext>
            </a:extLst>
          </xdr:cNvPr>
          <xdr:cNvSpPr/>
        </xdr:nvSpPr>
        <xdr:spPr>
          <a:xfrm>
            <a:off x="2292432" y="2020488"/>
            <a:ext cx="3290802" cy="2070066"/>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9D5E83CB-C9EC-264A-FDCE-37F78BE07CC2}"/>
              </a:ext>
            </a:extLst>
          </xdr:cNvPr>
          <xdr:cNvSpPr/>
        </xdr:nvSpPr>
        <xdr:spPr>
          <a:xfrm>
            <a:off x="2268199" y="4300920"/>
            <a:ext cx="7056516" cy="2222022"/>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C0909AC2-29DC-D9EE-8016-B78BBD67DC6D}"/>
              </a:ext>
            </a:extLst>
          </xdr:cNvPr>
          <xdr:cNvSpPr/>
        </xdr:nvSpPr>
        <xdr:spPr>
          <a:xfrm>
            <a:off x="9449714" y="2941320"/>
            <a:ext cx="2376525" cy="3581622"/>
          </a:xfrm>
          <a:prstGeom prst="roundRect">
            <a:avLst/>
          </a:prstGeom>
          <a:solidFill>
            <a:srgbClr val="181B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508437</xdr:colOff>
      <xdr:row>7</xdr:row>
      <xdr:rowOff>101436</xdr:rowOff>
    </xdr:from>
    <xdr:to>
      <xdr:col>4</xdr:col>
      <xdr:colOff>75804</xdr:colOff>
      <xdr:row>10</xdr:row>
      <xdr:rowOff>48096</xdr:rowOff>
    </xdr:to>
    <xdr:sp macro="" textlink="">
      <xdr:nvSpPr>
        <xdr:cNvPr id="5" name="Rectangle: Rounded Corners 4">
          <a:extLst>
            <a:ext uri="{FF2B5EF4-FFF2-40B4-BE49-F238E27FC236}">
              <a16:creationId xmlns:a16="http://schemas.microsoft.com/office/drawing/2014/main" id="{203CFDFE-8106-C595-F519-B3E3576B37BE}"/>
            </a:ext>
          </a:extLst>
        </xdr:cNvPr>
        <xdr:cNvSpPr/>
      </xdr:nvSpPr>
      <xdr:spPr>
        <a:xfrm>
          <a:off x="1118037" y="1434936"/>
          <a:ext cx="1396167" cy="518160"/>
        </a:xfrm>
        <a:prstGeom prst="roundRect">
          <a:avLst>
            <a:gd name="adj" fmla="val 40196"/>
          </a:avLst>
        </a:prstGeom>
        <a:gradFill>
          <a:gsLst>
            <a:gs pos="44000">
              <a:srgbClr val="7C7CEC"/>
            </a:gs>
            <a:gs pos="88000">
              <a:srgbClr val="AAAAF4"/>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259292</xdr:colOff>
      <xdr:row>9</xdr:row>
      <xdr:rowOff>107157</xdr:rowOff>
    </xdr:from>
    <xdr:to>
      <xdr:col>6</xdr:col>
      <xdr:colOff>216959</xdr:colOff>
      <xdr:row>11</xdr:row>
      <xdr:rowOff>85990</xdr:rowOff>
    </xdr:to>
    <xdr:sp macro="" textlink="Calculations!B4">
      <xdr:nvSpPr>
        <xdr:cNvPr id="16" name="TextBox 15">
          <a:extLst>
            <a:ext uri="{FF2B5EF4-FFF2-40B4-BE49-F238E27FC236}">
              <a16:creationId xmlns:a16="http://schemas.microsoft.com/office/drawing/2014/main" id="{CF9A70FD-2A5B-3201-778E-30B6E114B881}"/>
            </a:ext>
          </a:extLst>
        </xdr:cNvPr>
        <xdr:cNvSpPr txBox="1"/>
      </xdr:nvSpPr>
      <xdr:spPr>
        <a:xfrm>
          <a:off x="2688167" y="1821657"/>
          <a:ext cx="1172105"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1A8EEB-49B4-4C97-9287-49A189A6C81B}"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2,000</a:t>
          </a:fld>
          <a:endParaRPr lang="en-US"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7</xdr:col>
      <xdr:colOff>69693</xdr:colOff>
      <xdr:row>9</xdr:row>
      <xdr:rowOff>110451</xdr:rowOff>
    </xdr:from>
    <xdr:to>
      <xdr:col>9</xdr:col>
      <xdr:colOff>27360</xdr:colOff>
      <xdr:row>11</xdr:row>
      <xdr:rowOff>89284</xdr:rowOff>
    </xdr:to>
    <xdr:sp macro="" textlink="Calculations!C4">
      <xdr:nvSpPr>
        <xdr:cNvPr id="17" name="TextBox 16">
          <a:extLst>
            <a:ext uri="{FF2B5EF4-FFF2-40B4-BE49-F238E27FC236}">
              <a16:creationId xmlns:a16="http://schemas.microsoft.com/office/drawing/2014/main" id="{76C032D7-34B6-4B7E-968C-0BB206A65CC6}"/>
            </a:ext>
          </a:extLst>
        </xdr:cNvPr>
        <xdr:cNvSpPr txBox="1"/>
      </xdr:nvSpPr>
      <xdr:spPr>
        <a:xfrm>
          <a:off x="4320224" y="1824951"/>
          <a:ext cx="1172105"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0B863-9226-402A-9DE9-299EEFB8CC95}" type="TxLink">
            <a:rPr lang="en-US" sz="1600" b="0" i="0" u="none" strike="noStrike">
              <a:solidFill>
                <a:schemeClr val="bg1"/>
              </a:solidFill>
              <a:latin typeface="Segoe UI Semibold" panose="020B0702040204020203" pitchFamily="34" charset="0"/>
              <a:cs typeface="Segoe UI Semibold" panose="020B0702040204020203" pitchFamily="34" charset="0"/>
            </a:rPr>
            <a:t>82%</a:t>
          </a:fld>
          <a:endParaRPr lang="en-US" sz="16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171821</xdr:colOff>
      <xdr:row>9</xdr:row>
      <xdr:rowOff>89550</xdr:rowOff>
    </xdr:from>
    <xdr:to>
      <xdr:col>11</xdr:col>
      <xdr:colOff>129488</xdr:colOff>
      <xdr:row>11</xdr:row>
      <xdr:rowOff>68383</xdr:rowOff>
    </xdr:to>
    <xdr:sp macro="" textlink="Calculations!D4">
      <xdr:nvSpPr>
        <xdr:cNvPr id="18" name="TextBox 17">
          <a:extLst>
            <a:ext uri="{FF2B5EF4-FFF2-40B4-BE49-F238E27FC236}">
              <a16:creationId xmlns:a16="http://schemas.microsoft.com/office/drawing/2014/main" id="{E475D686-82E8-458E-93F8-CCBAE698A58E}"/>
            </a:ext>
          </a:extLst>
        </xdr:cNvPr>
        <xdr:cNvSpPr txBox="1"/>
      </xdr:nvSpPr>
      <xdr:spPr>
        <a:xfrm>
          <a:off x="5636790" y="1804050"/>
          <a:ext cx="1172104"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BFC9085-3327-4C49-B337-C76697CADFE3}"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$204.98</a:t>
          </a:fld>
          <a:endParaRPr lang="en-US"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11</xdr:col>
      <xdr:colOff>357295</xdr:colOff>
      <xdr:row>9</xdr:row>
      <xdr:rowOff>69970</xdr:rowOff>
    </xdr:from>
    <xdr:to>
      <xdr:col>13</xdr:col>
      <xdr:colOff>314963</xdr:colOff>
      <xdr:row>11</xdr:row>
      <xdr:rowOff>48803</xdr:rowOff>
    </xdr:to>
    <xdr:sp macro="" textlink="Calculations!E4">
      <xdr:nvSpPr>
        <xdr:cNvPr id="19" name="TextBox 18">
          <a:extLst>
            <a:ext uri="{FF2B5EF4-FFF2-40B4-BE49-F238E27FC236}">
              <a16:creationId xmlns:a16="http://schemas.microsoft.com/office/drawing/2014/main" id="{FA7FC8B1-FE86-4AD6-90AC-2404B4ED88AA}"/>
            </a:ext>
          </a:extLst>
        </xdr:cNvPr>
        <xdr:cNvSpPr txBox="1"/>
      </xdr:nvSpPr>
      <xdr:spPr>
        <a:xfrm>
          <a:off x="7036701" y="1784470"/>
          <a:ext cx="1172106"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74B72E7-0A47-4191-A671-30FB9D03707B}"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4Days</a:t>
          </a:fld>
          <a:endParaRPr lang="en-US"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534035</xdr:colOff>
      <xdr:row>9</xdr:row>
      <xdr:rowOff>57534</xdr:rowOff>
    </xdr:from>
    <xdr:to>
      <xdr:col>15</xdr:col>
      <xdr:colOff>498317</xdr:colOff>
      <xdr:row>11</xdr:row>
      <xdr:rowOff>36367</xdr:rowOff>
    </xdr:to>
    <xdr:sp macro="" textlink="Calculations!F4">
      <xdr:nvSpPr>
        <xdr:cNvPr id="20" name="TextBox 19">
          <a:extLst>
            <a:ext uri="{FF2B5EF4-FFF2-40B4-BE49-F238E27FC236}">
              <a16:creationId xmlns:a16="http://schemas.microsoft.com/office/drawing/2014/main" id="{06FECA6E-E6D7-4EF7-8A41-5BADEC61DC5C}"/>
            </a:ext>
          </a:extLst>
        </xdr:cNvPr>
        <xdr:cNvSpPr txBox="1"/>
      </xdr:nvSpPr>
      <xdr:spPr>
        <a:xfrm>
          <a:off x="8427879" y="1772034"/>
          <a:ext cx="1178719"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FF7204F-5E7A-4FF1-A788-6A67B0D9654D}"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lgn="ctr"/>
            <a:t>1275.87</a:t>
          </a:fld>
          <a:endParaRPr lang="en-US"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4</xdr:col>
      <xdr:colOff>345017</xdr:colOff>
      <xdr:row>15</xdr:row>
      <xdr:rowOff>119062</xdr:rowOff>
    </xdr:from>
    <xdr:to>
      <xdr:col>9</xdr:col>
      <xdr:colOff>317500</xdr:colOff>
      <xdr:row>24</xdr:row>
      <xdr:rowOff>108479</xdr:rowOff>
    </xdr:to>
    <xdr:graphicFrame macro="">
      <xdr:nvGraphicFramePr>
        <xdr:cNvPr id="21" name="Chart 20">
          <a:extLst>
            <a:ext uri="{FF2B5EF4-FFF2-40B4-BE49-F238E27FC236}">
              <a16:creationId xmlns:a16="http://schemas.microsoft.com/office/drawing/2014/main" id="{EFA4FADD-7B61-42A0-95A8-5D2AA7C04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357188</xdr:colOff>
      <xdr:row>15</xdr:row>
      <xdr:rowOff>166687</xdr:rowOff>
    </xdr:from>
    <xdr:to>
      <xdr:col>15</xdr:col>
      <xdr:colOff>367770</xdr:colOff>
      <xdr:row>25</xdr:row>
      <xdr:rowOff>59531</xdr:rowOff>
    </xdr:to>
    <xdr:graphicFrame macro="">
      <xdr:nvGraphicFramePr>
        <xdr:cNvPr id="22" name="Chart 21">
          <a:extLst>
            <a:ext uri="{FF2B5EF4-FFF2-40B4-BE49-F238E27FC236}">
              <a16:creationId xmlns:a16="http://schemas.microsoft.com/office/drawing/2014/main" id="{9D49D6BD-D54A-4D09-A541-9BA019E97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111124</xdr:colOff>
      <xdr:row>7</xdr:row>
      <xdr:rowOff>91281</xdr:rowOff>
    </xdr:from>
    <xdr:to>
      <xdr:col>19</xdr:col>
      <xdr:colOff>474926</xdr:colOff>
      <xdr:row>17</xdr:row>
      <xdr:rowOff>175948</xdr:rowOff>
    </xdr:to>
    <xdr:graphicFrame macro="">
      <xdr:nvGraphicFramePr>
        <xdr:cNvPr id="24" name="Chart 23">
          <a:extLst>
            <a:ext uri="{FF2B5EF4-FFF2-40B4-BE49-F238E27FC236}">
              <a16:creationId xmlns:a16="http://schemas.microsoft.com/office/drawing/2014/main" id="{CD846045-D1D0-4E17-81D2-B44F403E5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267229</xdr:colOff>
      <xdr:row>27</xdr:row>
      <xdr:rowOff>119062</xdr:rowOff>
    </xdr:from>
    <xdr:to>
      <xdr:col>9</xdr:col>
      <xdr:colOff>265112</xdr:colOff>
      <xdr:row>38</xdr:row>
      <xdr:rowOff>39688</xdr:rowOff>
    </xdr:to>
    <xdr:graphicFrame macro="">
      <xdr:nvGraphicFramePr>
        <xdr:cNvPr id="25" name="Chart 24">
          <a:extLst>
            <a:ext uri="{FF2B5EF4-FFF2-40B4-BE49-F238E27FC236}">
              <a16:creationId xmlns:a16="http://schemas.microsoft.com/office/drawing/2014/main" id="{A21672BE-D4B0-45A2-AAA9-252F28D4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457729</xdr:colOff>
      <xdr:row>27</xdr:row>
      <xdr:rowOff>142875</xdr:rowOff>
    </xdr:from>
    <xdr:to>
      <xdr:col>15</xdr:col>
      <xdr:colOff>415396</xdr:colOff>
      <xdr:row>38</xdr:row>
      <xdr:rowOff>70114</xdr:rowOff>
    </xdr:to>
    <xdr:graphicFrame macro="">
      <xdr:nvGraphicFramePr>
        <xdr:cNvPr id="26" name="Chart 25">
          <a:extLst>
            <a:ext uri="{FF2B5EF4-FFF2-40B4-BE49-F238E27FC236}">
              <a16:creationId xmlns:a16="http://schemas.microsoft.com/office/drawing/2014/main" id="{5A9B5596-AEC6-4E2A-86C1-27BEF3639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29103</xdr:colOff>
      <xdr:row>20</xdr:row>
      <xdr:rowOff>35718</xdr:rowOff>
    </xdr:from>
    <xdr:to>
      <xdr:col>20</xdr:col>
      <xdr:colOff>234722</xdr:colOff>
      <xdr:row>37</xdr:row>
      <xdr:rowOff>68035</xdr:rowOff>
    </xdr:to>
    <xdr:graphicFrame macro="">
      <xdr:nvGraphicFramePr>
        <xdr:cNvPr id="27" name="Chart 26">
          <a:extLst>
            <a:ext uri="{FF2B5EF4-FFF2-40B4-BE49-F238E27FC236}">
              <a16:creationId xmlns:a16="http://schemas.microsoft.com/office/drawing/2014/main" id="{7F3AF379-4A0C-4E70-9D8F-6FDDBD2A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280458</xdr:colOff>
      <xdr:row>8</xdr:row>
      <xdr:rowOff>3968</xdr:rowOff>
    </xdr:from>
    <xdr:to>
      <xdr:col>6</xdr:col>
      <xdr:colOff>559593</xdr:colOff>
      <xdr:row>9</xdr:row>
      <xdr:rowOff>95250</xdr:rowOff>
    </xdr:to>
    <xdr:sp macro="" textlink="">
      <xdr:nvSpPr>
        <xdr:cNvPr id="29" name="TextBox 28">
          <a:extLst>
            <a:ext uri="{FF2B5EF4-FFF2-40B4-BE49-F238E27FC236}">
              <a16:creationId xmlns:a16="http://schemas.microsoft.com/office/drawing/2014/main" id="{FD435479-4492-01B6-5719-69AEA4E47662}"/>
            </a:ext>
          </a:extLst>
        </xdr:cNvPr>
        <xdr:cNvSpPr txBox="1"/>
      </xdr:nvSpPr>
      <xdr:spPr>
        <a:xfrm>
          <a:off x="2709333" y="1527968"/>
          <a:ext cx="1493573" cy="28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Semibold" panose="020B0702040204020203" pitchFamily="34" charset="0"/>
              <a:cs typeface="Segoe UI Semibold" panose="020B0702040204020203" pitchFamily="34" charset="0"/>
            </a:rPr>
            <a:t>Total</a:t>
          </a:r>
          <a:r>
            <a:rPr lang="en-US" sz="1200" baseline="0">
              <a:solidFill>
                <a:schemeClr val="bg1"/>
              </a:solidFill>
              <a:latin typeface="Segoe UI Semibold" panose="020B0702040204020203" pitchFamily="34" charset="0"/>
              <a:cs typeface="Segoe UI Semibold" panose="020B0702040204020203" pitchFamily="34" charset="0"/>
            </a:rPr>
            <a:t> Shipment</a:t>
          </a:r>
        </a:p>
        <a:p>
          <a:endParaRPr lang="en-US" sz="1100">
            <a:solidFill>
              <a:schemeClr val="bg1"/>
            </a:solidFill>
          </a:endParaRPr>
        </a:p>
      </xdr:txBody>
    </xdr:sp>
    <xdr:clientData/>
  </xdr:twoCellAnchor>
  <xdr:twoCellAnchor>
    <xdr:from>
      <xdr:col>6</xdr:col>
      <xdr:colOff>596213</xdr:colOff>
      <xdr:row>7</xdr:row>
      <xdr:rowOff>169982</xdr:rowOff>
    </xdr:from>
    <xdr:to>
      <xdr:col>9</xdr:col>
      <xdr:colOff>130969</xdr:colOff>
      <xdr:row>9</xdr:row>
      <xdr:rowOff>130967</xdr:rowOff>
    </xdr:to>
    <xdr:sp macro="" textlink="">
      <xdr:nvSpPr>
        <xdr:cNvPr id="32" name="TextBox 31">
          <a:extLst>
            <a:ext uri="{FF2B5EF4-FFF2-40B4-BE49-F238E27FC236}">
              <a16:creationId xmlns:a16="http://schemas.microsoft.com/office/drawing/2014/main" id="{3A4E4F2C-AB32-4C76-ABE7-E7DACCCA2E5F}"/>
            </a:ext>
          </a:extLst>
        </xdr:cNvPr>
        <xdr:cNvSpPr txBox="1"/>
      </xdr:nvSpPr>
      <xdr:spPr>
        <a:xfrm>
          <a:off x="4239526" y="1503482"/>
          <a:ext cx="1356412" cy="341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latin typeface="Segoe UI Semibold" panose="020B0702040204020203" pitchFamily="34" charset="0"/>
              <a:cs typeface="Segoe UI Semibold" panose="020B0702040204020203" pitchFamily="34" charset="0"/>
            </a:rPr>
            <a:t>Delivery Rate</a:t>
          </a:r>
        </a:p>
        <a:p>
          <a:endParaRPr lang="en-US" sz="1100" baseline="0">
            <a:solidFill>
              <a:schemeClr val="bg1"/>
            </a:solidFill>
            <a:latin typeface="Segoe UI Semibold" panose="020B0702040204020203" pitchFamily="34" charset="0"/>
            <a:cs typeface="Segoe UI Semibold" panose="020B0702040204020203" pitchFamily="34" charset="0"/>
          </a:endParaRPr>
        </a:p>
        <a:p>
          <a:endParaRPr lang="en-US" sz="1100">
            <a:solidFill>
              <a:schemeClr val="bg1"/>
            </a:solidFill>
          </a:endParaRPr>
        </a:p>
      </xdr:txBody>
    </xdr:sp>
    <xdr:clientData/>
  </xdr:twoCellAnchor>
  <xdr:twoCellAnchor>
    <xdr:from>
      <xdr:col>9</xdr:col>
      <xdr:colOff>273422</xdr:colOff>
      <xdr:row>7</xdr:row>
      <xdr:rowOff>143524</xdr:rowOff>
    </xdr:from>
    <xdr:to>
      <xdr:col>11</xdr:col>
      <xdr:colOff>294589</xdr:colOff>
      <xdr:row>9</xdr:row>
      <xdr:rowOff>37691</xdr:rowOff>
    </xdr:to>
    <xdr:sp macro="" textlink="">
      <xdr:nvSpPr>
        <xdr:cNvPr id="33" name="TextBox 32">
          <a:extLst>
            <a:ext uri="{FF2B5EF4-FFF2-40B4-BE49-F238E27FC236}">
              <a16:creationId xmlns:a16="http://schemas.microsoft.com/office/drawing/2014/main" id="{55DC1F56-87DC-423F-9964-CEBE2FB0BCC1}"/>
            </a:ext>
          </a:extLst>
        </xdr:cNvPr>
        <xdr:cNvSpPr txBox="1"/>
      </xdr:nvSpPr>
      <xdr:spPr>
        <a:xfrm>
          <a:off x="5738391" y="1477024"/>
          <a:ext cx="1235604"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Segoe UI Semibold" panose="020B0702040204020203" pitchFamily="34" charset="0"/>
              <a:cs typeface="Segoe UI Semibold" panose="020B0702040204020203" pitchFamily="34" charset="0"/>
            </a:rPr>
            <a:t>Avg. Cost</a:t>
          </a:r>
          <a:endParaRPr lang="en-US" sz="1400" baseline="0">
            <a:solidFill>
              <a:schemeClr val="bg1"/>
            </a:solidFill>
            <a:latin typeface="Segoe UI Semibold" panose="020B0702040204020203" pitchFamily="34" charset="0"/>
            <a:cs typeface="Segoe UI Semibold" panose="020B0702040204020203" pitchFamily="34" charset="0"/>
          </a:endParaRPr>
        </a:p>
        <a:p>
          <a:endParaRPr lang="en-US" sz="1100">
            <a:solidFill>
              <a:schemeClr val="bg1"/>
            </a:solidFill>
          </a:endParaRPr>
        </a:p>
      </xdr:txBody>
    </xdr:sp>
    <xdr:clientData/>
  </xdr:twoCellAnchor>
  <xdr:twoCellAnchor>
    <xdr:from>
      <xdr:col>11</xdr:col>
      <xdr:colOff>273844</xdr:colOff>
      <xdr:row>8</xdr:row>
      <xdr:rowOff>0</xdr:rowOff>
    </xdr:from>
    <xdr:to>
      <xdr:col>13</xdr:col>
      <xdr:colOff>509323</xdr:colOff>
      <xdr:row>9</xdr:row>
      <xdr:rowOff>72086</xdr:rowOff>
    </xdr:to>
    <xdr:sp macro="" textlink="">
      <xdr:nvSpPr>
        <xdr:cNvPr id="34" name="TextBox 33">
          <a:extLst>
            <a:ext uri="{FF2B5EF4-FFF2-40B4-BE49-F238E27FC236}">
              <a16:creationId xmlns:a16="http://schemas.microsoft.com/office/drawing/2014/main" id="{317A1322-488C-408B-8022-D87081ADFF3B}"/>
            </a:ext>
          </a:extLst>
        </xdr:cNvPr>
        <xdr:cNvSpPr txBox="1"/>
      </xdr:nvSpPr>
      <xdr:spPr>
        <a:xfrm>
          <a:off x="6953250" y="1524000"/>
          <a:ext cx="1449917" cy="262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bg1"/>
              </a:solidFill>
              <a:latin typeface="Segoe UI Semibold" panose="020B0702040204020203" pitchFamily="34" charset="0"/>
              <a:cs typeface="Segoe UI Semibold" panose="020B0702040204020203" pitchFamily="34" charset="0"/>
            </a:rPr>
            <a:t>Avg. Transit Days</a:t>
          </a:r>
        </a:p>
        <a:p>
          <a:endParaRPr lang="en-US" sz="1100">
            <a:solidFill>
              <a:schemeClr val="bg1"/>
            </a:solidFill>
          </a:endParaRPr>
        </a:p>
      </xdr:txBody>
    </xdr:sp>
    <xdr:clientData/>
  </xdr:twoCellAnchor>
  <xdr:twoCellAnchor>
    <xdr:from>
      <xdr:col>13</xdr:col>
      <xdr:colOff>401745</xdr:colOff>
      <xdr:row>7</xdr:row>
      <xdr:rowOff>175274</xdr:rowOff>
    </xdr:from>
    <xdr:to>
      <xdr:col>16</xdr:col>
      <xdr:colOff>72760</xdr:colOff>
      <xdr:row>9</xdr:row>
      <xdr:rowOff>69441</xdr:rowOff>
    </xdr:to>
    <xdr:sp macro="" textlink="">
      <xdr:nvSpPr>
        <xdr:cNvPr id="35" name="TextBox 34">
          <a:extLst>
            <a:ext uri="{FF2B5EF4-FFF2-40B4-BE49-F238E27FC236}">
              <a16:creationId xmlns:a16="http://schemas.microsoft.com/office/drawing/2014/main" id="{6B73AB4D-93E9-44D9-BB61-005BA1039225}"/>
            </a:ext>
          </a:extLst>
        </xdr:cNvPr>
        <xdr:cNvSpPr txBox="1"/>
      </xdr:nvSpPr>
      <xdr:spPr>
        <a:xfrm>
          <a:off x="8295589" y="1508774"/>
          <a:ext cx="1492671"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Avg.</a:t>
          </a:r>
          <a:r>
            <a:rPr lang="en-US" sz="1100" baseline="0">
              <a:solidFill>
                <a:schemeClr val="bg1"/>
              </a:solidFill>
              <a:latin typeface="Segoe UI Semibold" panose="020B0702040204020203" pitchFamily="34" charset="0"/>
              <a:cs typeface="Segoe UI Semibold" panose="020B0702040204020203" pitchFamily="34" charset="0"/>
            </a:rPr>
            <a:t> Miles Traveled</a:t>
          </a:r>
        </a:p>
        <a:p>
          <a:endParaRPr lang="en-US" sz="1100">
            <a:solidFill>
              <a:schemeClr val="bg1"/>
            </a:solidFill>
          </a:endParaRPr>
        </a:p>
      </xdr:txBody>
    </xdr:sp>
    <xdr:clientData/>
  </xdr:twoCellAnchor>
  <xdr:twoCellAnchor>
    <xdr:from>
      <xdr:col>1</xdr:col>
      <xdr:colOff>10584</xdr:colOff>
      <xdr:row>3</xdr:row>
      <xdr:rowOff>95250</xdr:rowOff>
    </xdr:from>
    <xdr:to>
      <xdr:col>7</xdr:col>
      <xdr:colOff>179918</xdr:colOff>
      <xdr:row>6</xdr:row>
      <xdr:rowOff>84667</xdr:rowOff>
    </xdr:to>
    <xdr:sp macro="" textlink="">
      <xdr:nvSpPr>
        <xdr:cNvPr id="36" name="TextBox 35">
          <a:extLst>
            <a:ext uri="{FF2B5EF4-FFF2-40B4-BE49-F238E27FC236}">
              <a16:creationId xmlns:a16="http://schemas.microsoft.com/office/drawing/2014/main" id="{B7DA4F8F-BC93-4C91-AD33-4636FAFA5247}"/>
            </a:ext>
          </a:extLst>
        </xdr:cNvPr>
        <xdr:cNvSpPr txBox="1"/>
      </xdr:nvSpPr>
      <xdr:spPr>
        <a:xfrm>
          <a:off x="624417" y="666750"/>
          <a:ext cx="3852334" cy="560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Daytona Light" panose="020F0502020204030204" pitchFamily="34" charset="0"/>
              <a:cs typeface="Segoe UI Semibold" panose="020B0702040204020203" pitchFamily="34" charset="0"/>
            </a:rPr>
            <a:t>Logistics Analytics</a:t>
          </a:r>
          <a:r>
            <a:rPr lang="en-US" sz="2000" baseline="0">
              <a:solidFill>
                <a:schemeClr val="bg1"/>
              </a:solidFill>
              <a:latin typeface="Daytona Light" panose="020F0502020204030204" pitchFamily="34" charset="0"/>
              <a:cs typeface="Segoe UI Semibold" panose="020B0702040204020203" pitchFamily="34" charset="0"/>
            </a:rPr>
            <a:t> Dashboard</a:t>
          </a:r>
        </a:p>
        <a:p>
          <a:endParaRPr lang="en-US" sz="1100">
            <a:solidFill>
              <a:schemeClr val="bg1"/>
            </a:solidFill>
          </a:endParaRPr>
        </a:p>
      </xdr:txBody>
    </xdr:sp>
    <xdr:clientData/>
  </xdr:twoCellAnchor>
  <xdr:twoCellAnchor>
    <xdr:from>
      <xdr:col>2</xdr:col>
      <xdr:colOff>248708</xdr:colOff>
      <xdr:row>8</xdr:row>
      <xdr:rowOff>42333</xdr:rowOff>
    </xdr:from>
    <xdr:to>
      <xdr:col>4</xdr:col>
      <xdr:colOff>269876</xdr:colOff>
      <xdr:row>9</xdr:row>
      <xdr:rowOff>127000</xdr:rowOff>
    </xdr:to>
    <xdr:sp macro="" textlink="">
      <xdr:nvSpPr>
        <xdr:cNvPr id="37" name="TextBox 36">
          <a:extLst>
            <a:ext uri="{FF2B5EF4-FFF2-40B4-BE49-F238E27FC236}">
              <a16:creationId xmlns:a16="http://schemas.microsoft.com/office/drawing/2014/main" id="{73A96616-D25D-4FE8-81C0-A3159B0149D0}"/>
            </a:ext>
          </a:extLst>
        </xdr:cNvPr>
        <xdr:cNvSpPr txBox="1"/>
      </xdr:nvSpPr>
      <xdr:spPr>
        <a:xfrm>
          <a:off x="1463146" y="1566333"/>
          <a:ext cx="1235605"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Daytona Light" panose="020B0304030503040204" pitchFamily="34" charset="0"/>
              <a:cs typeface="Segoe UI Semibold" panose="020B0702040204020203" pitchFamily="34" charset="0"/>
            </a:rPr>
            <a:t>Analytics</a:t>
          </a:r>
          <a:endParaRPr lang="en-US" sz="1100" baseline="0">
            <a:solidFill>
              <a:schemeClr val="bg1"/>
            </a:solidFill>
            <a:latin typeface="Daytona Light" panose="020B0304030503040204" pitchFamily="34" charset="0"/>
            <a:cs typeface="Segoe UI Semibold" panose="020B0702040204020203" pitchFamily="34" charset="0"/>
          </a:endParaRPr>
        </a:p>
        <a:p>
          <a:endParaRPr lang="en-US" sz="1100">
            <a:solidFill>
              <a:schemeClr val="bg1"/>
            </a:solidFill>
          </a:endParaRPr>
        </a:p>
      </xdr:txBody>
    </xdr:sp>
    <xdr:clientData/>
  </xdr:twoCellAnchor>
  <xdr:twoCellAnchor>
    <xdr:from>
      <xdr:col>2</xdr:col>
      <xdr:colOff>211665</xdr:colOff>
      <xdr:row>11</xdr:row>
      <xdr:rowOff>84667</xdr:rowOff>
    </xdr:from>
    <xdr:to>
      <xdr:col>4</xdr:col>
      <xdr:colOff>232833</xdr:colOff>
      <xdr:row>12</xdr:row>
      <xdr:rowOff>169334</xdr:rowOff>
    </xdr:to>
    <xdr:sp macro="" textlink="">
      <xdr:nvSpPr>
        <xdr:cNvPr id="39" name="TextBox 38">
          <a:extLst>
            <a:ext uri="{FF2B5EF4-FFF2-40B4-BE49-F238E27FC236}">
              <a16:creationId xmlns:a16="http://schemas.microsoft.com/office/drawing/2014/main" id="{C81028C9-AEC4-4BA1-B9B5-FCCFAF96C603}"/>
            </a:ext>
          </a:extLst>
        </xdr:cNvPr>
        <xdr:cNvSpPr txBox="1"/>
      </xdr:nvSpPr>
      <xdr:spPr>
        <a:xfrm>
          <a:off x="1439332" y="2180167"/>
          <a:ext cx="1248834"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Daytona Light" panose="020B0304030503040204" pitchFamily="34" charset="0"/>
              <a:cs typeface="Segoe UI Semibold" panose="020B0702040204020203" pitchFamily="34" charset="0"/>
            </a:rPr>
            <a:t>Database</a:t>
          </a:r>
          <a:endParaRPr lang="en-US" sz="1100" baseline="0">
            <a:solidFill>
              <a:schemeClr val="bg1"/>
            </a:solidFill>
            <a:latin typeface="Daytona Light" panose="020B0304030503040204" pitchFamily="34" charset="0"/>
            <a:cs typeface="Segoe UI Semibold" panose="020B0702040204020203" pitchFamily="34" charset="0"/>
          </a:endParaRPr>
        </a:p>
        <a:p>
          <a:endParaRPr lang="en-US" sz="1100">
            <a:solidFill>
              <a:schemeClr val="bg1"/>
            </a:solidFill>
            <a:latin typeface="Daytona Light" panose="020B0304030503040204" pitchFamily="34" charset="0"/>
          </a:endParaRPr>
        </a:p>
      </xdr:txBody>
    </xdr:sp>
    <xdr:clientData/>
  </xdr:twoCellAnchor>
  <xdr:twoCellAnchor>
    <xdr:from>
      <xdr:col>2</xdr:col>
      <xdr:colOff>275166</xdr:colOff>
      <xdr:row>14</xdr:row>
      <xdr:rowOff>137583</xdr:rowOff>
    </xdr:from>
    <xdr:to>
      <xdr:col>4</xdr:col>
      <xdr:colOff>296334</xdr:colOff>
      <xdr:row>16</xdr:row>
      <xdr:rowOff>31750</xdr:rowOff>
    </xdr:to>
    <xdr:sp macro="" textlink="">
      <xdr:nvSpPr>
        <xdr:cNvPr id="40" name="TextBox 39">
          <a:extLst>
            <a:ext uri="{FF2B5EF4-FFF2-40B4-BE49-F238E27FC236}">
              <a16:creationId xmlns:a16="http://schemas.microsoft.com/office/drawing/2014/main" id="{2A49BD4E-E9F3-421A-8EC6-7125E4F3FBE4}"/>
            </a:ext>
          </a:extLst>
        </xdr:cNvPr>
        <xdr:cNvSpPr txBox="1"/>
      </xdr:nvSpPr>
      <xdr:spPr>
        <a:xfrm>
          <a:off x="1502833" y="2804583"/>
          <a:ext cx="1248834"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Daytona Light" panose="020B0304030503040204" pitchFamily="34" charset="0"/>
              <a:cs typeface="Segoe UI Semibold" panose="020B0702040204020203" pitchFamily="34" charset="0"/>
            </a:rPr>
            <a:t>Settings</a:t>
          </a:r>
          <a:endParaRPr lang="en-US" sz="1100" baseline="0">
            <a:solidFill>
              <a:schemeClr val="bg1"/>
            </a:solidFill>
            <a:latin typeface="Daytona Light" panose="020B0304030503040204" pitchFamily="34" charset="0"/>
            <a:cs typeface="Segoe UI Semibold" panose="020B0702040204020203" pitchFamily="34" charset="0"/>
          </a:endParaRPr>
        </a:p>
        <a:p>
          <a:endParaRPr lang="en-US" sz="1100">
            <a:solidFill>
              <a:schemeClr val="bg1"/>
            </a:solidFill>
            <a:latin typeface="Daytona Light" panose="020B0304030503040204" pitchFamily="34" charset="0"/>
          </a:endParaRPr>
        </a:p>
      </xdr:txBody>
    </xdr:sp>
    <xdr:clientData/>
  </xdr:twoCellAnchor>
  <xdr:twoCellAnchor>
    <xdr:from>
      <xdr:col>9</xdr:col>
      <xdr:colOff>547688</xdr:colOff>
      <xdr:row>3</xdr:row>
      <xdr:rowOff>142875</xdr:rowOff>
    </xdr:from>
    <xdr:to>
      <xdr:col>20</xdr:col>
      <xdr:colOff>214313</xdr:colOff>
      <xdr:row>6</xdr:row>
      <xdr:rowOff>142875</xdr:rowOff>
    </xdr:to>
    <xdr:sp macro="" textlink="">
      <xdr:nvSpPr>
        <xdr:cNvPr id="42" name="Rectangle: Rounded Corners 41">
          <a:extLst>
            <a:ext uri="{FF2B5EF4-FFF2-40B4-BE49-F238E27FC236}">
              <a16:creationId xmlns:a16="http://schemas.microsoft.com/office/drawing/2014/main" id="{B6AE82B0-B03A-96FF-96EF-1BC7A02176E3}"/>
            </a:ext>
          </a:extLst>
        </xdr:cNvPr>
        <xdr:cNvSpPr/>
      </xdr:nvSpPr>
      <xdr:spPr>
        <a:xfrm>
          <a:off x="6012657" y="714375"/>
          <a:ext cx="6346031" cy="571500"/>
        </a:xfrm>
        <a:prstGeom prst="roundRect">
          <a:avLst/>
        </a:prstGeom>
        <a:solidFill>
          <a:srgbClr val="191A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35719</xdr:colOff>
      <xdr:row>4</xdr:row>
      <xdr:rowOff>23812</xdr:rowOff>
    </xdr:from>
    <xdr:to>
      <xdr:col>20</xdr:col>
      <xdr:colOff>288132</xdr:colOff>
      <xdr:row>6</xdr:row>
      <xdr:rowOff>128587</xdr:rowOff>
    </xdr:to>
    <mc:AlternateContent xmlns:mc="http://schemas.openxmlformats.org/markup-compatibility/2006">
      <mc:Choice xmlns:a14="http://schemas.microsoft.com/office/drawing/2010/main" Requires="a14">
        <xdr:graphicFrame macro="">
          <xdr:nvGraphicFramePr>
            <xdr:cNvPr id="41" name="Carrier">
              <a:extLst>
                <a:ext uri="{FF2B5EF4-FFF2-40B4-BE49-F238E27FC236}">
                  <a16:creationId xmlns:a16="http://schemas.microsoft.com/office/drawing/2014/main" id="{E0B831D8-9ADD-4EB5-B67C-2A51D65B09AB}"/>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6174052" y="785812"/>
              <a:ext cx="6390747" cy="48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392907</xdr:colOff>
      <xdr:row>8</xdr:row>
      <xdr:rowOff>47626</xdr:rowOff>
    </xdr:from>
    <xdr:to>
      <xdr:col>25</xdr:col>
      <xdr:colOff>476250</xdr:colOff>
      <xdr:row>17</xdr:row>
      <xdr:rowOff>23812</xdr:rowOff>
    </xdr:to>
    <xdr:sp macro="" textlink="">
      <xdr:nvSpPr>
        <xdr:cNvPr id="44" name="Rectangle: Rounded Corners 43">
          <a:extLst>
            <a:ext uri="{FF2B5EF4-FFF2-40B4-BE49-F238E27FC236}">
              <a16:creationId xmlns:a16="http://schemas.microsoft.com/office/drawing/2014/main" id="{E2CC861D-B7A6-D9C8-64CF-43AB387EA028}"/>
            </a:ext>
          </a:extLst>
        </xdr:cNvPr>
        <xdr:cNvSpPr/>
      </xdr:nvSpPr>
      <xdr:spPr>
        <a:xfrm>
          <a:off x="11930063" y="1571626"/>
          <a:ext cx="3726656" cy="1690686"/>
        </a:xfrm>
        <a:prstGeom prst="roundRect">
          <a:avLst/>
        </a:prstGeom>
        <a:solidFill>
          <a:srgbClr val="191A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11906</xdr:colOff>
      <xdr:row>8</xdr:row>
      <xdr:rowOff>166687</xdr:rowOff>
    </xdr:from>
    <xdr:to>
      <xdr:col>25</xdr:col>
      <xdr:colOff>280987</xdr:colOff>
      <xdr:row>16</xdr:row>
      <xdr:rowOff>14287</xdr:rowOff>
    </xdr:to>
    <mc:AlternateContent xmlns:mc="http://schemas.openxmlformats.org/markup-compatibility/2006">
      <mc:Choice xmlns:tsle="http://schemas.microsoft.com/office/drawing/2012/timeslicer" Requires="tsle">
        <xdr:graphicFrame macro="">
          <xdr:nvGraphicFramePr>
            <xdr:cNvPr id="43" name="Date">
              <a:extLst>
                <a:ext uri="{FF2B5EF4-FFF2-40B4-BE49-F238E27FC236}">
                  <a16:creationId xmlns:a16="http://schemas.microsoft.com/office/drawing/2014/main" id="{F65C424B-F188-494A-9839-A39B970DF3B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288573" y="1690687"/>
              <a:ext cx="333824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260193</xdr:colOff>
      <xdr:row>14</xdr:row>
      <xdr:rowOff>118389</xdr:rowOff>
    </xdr:from>
    <xdr:to>
      <xdr:col>9</xdr:col>
      <xdr:colOff>190500</xdr:colOff>
      <xdr:row>16</xdr:row>
      <xdr:rowOff>0</xdr:rowOff>
    </xdr:to>
    <xdr:sp macro="" textlink="">
      <xdr:nvSpPr>
        <xdr:cNvPr id="45" name="TextBox 44">
          <a:extLst>
            <a:ext uri="{FF2B5EF4-FFF2-40B4-BE49-F238E27FC236}">
              <a16:creationId xmlns:a16="http://schemas.microsoft.com/office/drawing/2014/main" id="{AB6E5ABC-5AE1-494E-9BD9-BEC6C05604B3}"/>
            </a:ext>
          </a:extLst>
        </xdr:cNvPr>
        <xdr:cNvSpPr txBox="1"/>
      </xdr:nvSpPr>
      <xdr:spPr>
        <a:xfrm>
          <a:off x="2689068" y="2785389"/>
          <a:ext cx="2966401" cy="26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Total</a:t>
          </a:r>
          <a:r>
            <a:rPr lang="en-US" sz="1100" baseline="0">
              <a:solidFill>
                <a:schemeClr val="bg1"/>
              </a:solidFill>
              <a:latin typeface="Segoe UI Semibold" panose="020B0702040204020203" pitchFamily="34" charset="0"/>
              <a:cs typeface="Segoe UI Semibold" panose="020B0702040204020203" pitchFamily="34" charset="0"/>
            </a:rPr>
            <a:t> Shipment &amp; Delivery Count by Month</a:t>
          </a:r>
        </a:p>
        <a:p>
          <a:endParaRPr lang="en-US" sz="1100">
            <a:solidFill>
              <a:schemeClr val="bg1"/>
            </a:solidFill>
          </a:endParaRPr>
        </a:p>
      </xdr:txBody>
    </xdr:sp>
    <xdr:clientData/>
  </xdr:twoCellAnchor>
  <xdr:twoCellAnchor>
    <xdr:from>
      <xdr:col>10</xdr:col>
      <xdr:colOff>188755</xdr:colOff>
      <xdr:row>14</xdr:row>
      <xdr:rowOff>130295</xdr:rowOff>
    </xdr:from>
    <xdr:to>
      <xdr:col>15</xdr:col>
      <xdr:colOff>119063</xdr:colOff>
      <xdr:row>16</xdr:row>
      <xdr:rowOff>11906</xdr:rowOff>
    </xdr:to>
    <xdr:sp macro="" textlink="">
      <xdr:nvSpPr>
        <xdr:cNvPr id="46" name="TextBox 45">
          <a:extLst>
            <a:ext uri="{FF2B5EF4-FFF2-40B4-BE49-F238E27FC236}">
              <a16:creationId xmlns:a16="http://schemas.microsoft.com/office/drawing/2014/main" id="{E37A436D-E31C-4BBB-A443-70051BF1FBE2}"/>
            </a:ext>
          </a:extLst>
        </xdr:cNvPr>
        <xdr:cNvSpPr txBox="1"/>
      </xdr:nvSpPr>
      <xdr:spPr>
        <a:xfrm>
          <a:off x="6260943" y="2797295"/>
          <a:ext cx="2966401" cy="26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Carrier Avg Cost</a:t>
          </a:r>
          <a:endParaRPr lang="en-US" sz="1100" baseline="0">
            <a:solidFill>
              <a:schemeClr val="bg1"/>
            </a:solidFill>
            <a:latin typeface="Segoe UI Semibold" panose="020B0702040204020203" pitchFamily="34" charset="0"/>
            <a:cs typeface="Segoe UI Semibold" panose="020B0702040204020203" pitchFamily="34" charset="0"/>
          </a:endParaRPr>
        </a:p>
        <a:p>
          <a:endParaRPr lang="en-US" sz="1100">
            <a:solidFill>
              <a:schemeClr val="bg1"/>
            </a:solidFill>
          </a:endParaRPr>
        </a:p>
      </xdr:txBody>
    </xdr:sp>
    <xdr:clientData/>
  </xdr:twoCellAnchor>
  <xdr:twoCellAnchor>
    <xdr:from>
      <xdr:col>4</xdr:col>
      <xdr:colOff>243416</xdr:colOff>
      <xdr:row>26</xdr:row>
      <xdr:rowOff>109802</xdr:rowOff>
    </xdr:from>
    <xdr:to>
      <xdr:col>9</xdr:col>
      <xdr:colOff>173723</xdr:colOff>
      <xdr:row>27</xdr:row>
      <xdr:rowOff>181913</xdr:rowOff>
    </xdr:to>
    <xdr:sp macro="" textlink="">
      <xdr:nvSpPr>
        <xdr:cNvPr id="47" name="TextBox 46">
          <a:extLst>
            <a:ext uri="{FF2B5EF4-FFF2-40B4-BE49-F238E27FC236}">
              <a16:creationId xmlns:a16="http://schemas.microsoft.com/office/drawing/2014/main" id="{F6C8AB84-5FA0-49D3-83CA-D1FB23B07CC5}"/>
            </a:ext>
          </a:extLst>
        </xdr:cNvPr>
        <xdr:cNvSpPr txBox="1"/>
      </xdr:nvSpPr>
      <xdr:spPr>
        <a:xfrm>
          <a:off x="2672291" y="5062802"/>
          <a:ext cx="2966401" cy="26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Carrier Avg</a:t>
          </a:r>
          <a:r>
            <a:rPr lang="en-US" sz="1100" baseline="0">
              <a:solidFill>
                <a:schemeClr val="bg1"/>
              </a:solidFill>
              <a:latin typeface="Segoe UI Semibold" panose="020B0702040204020203" pitchFamily="34" charset="0"/>
              <a:cs typeface="Segoe UI Semibold" panose="020B0702040204020203" pitchFamily="34" charset="0"/>
            </a:rPr>
            <a:t> Weight</a:t>
          </a:r>
        </a:p>
        <a:p>
          <a:endParaRPr lang="en-US" sz="1100" baseline="0">
            <a:solidFill>
              <a:schemeClr val="bg1"/>
            </a:solidFill>
            <a:latin typeface="Segoe UI Semibold" panose="020B0702040204020203" pitchFamily="34" charset="0"/>
            <a:cs typeface="Segoe UI Semibold" panose="020B0702040204020203" pitchFamily="34" charset="0"/>
          </a:endParaRPr>
        </a:p>
        <a:p>
          <a:endParaRPr lang="en-US" sz="1100">
            <a:solidFill>
              <a:schemeClr val="bg1"/>
            </a:solidFill>
          </a:endParaRPr>
        </a:p>
      </xdr:txBody>
    </xdr:sp>
    <xdr:clientData/>
  </xdr:twoCellAnchor>
  <xdr:twoCellAnchor>
    <xdr:from>
      <xdr:col>10</xdr:col>
      <xdr:colOff>10161</xdr:colOff>
      <xdr:row>26</xdr:row>
      <xdr:rowOff>94576</xdr:rowOff>
    </xdr:from>
    <xdr:to>
      <xdr:col>14</xdr:col>
      <xdr:colOff>547687</xdr:colOff>
      <xdr:row>27</xdr:row>
      <xdr:rowOff>166687</xdr:rowOff>
    </xdr:to>
    <xdr:sp macro="" textlink="">
      <xdr:nvSpPr>
        <xdr:cNvPr id="48" name="TextBox 47">
          <a:extLst>
            <a:ext uri="{FF2B5EF4-FFF2-40B4-BE49-F238E27FC236}">
              <a16:creationId xmlns:a16="http://schemas.microsoft.com/office/drawing/2014/main" id="{CB3420C6-DF4B-491D-81B7-FA66BEA73165}"/>
            </a:ext>
          </a:extLst>
        </xdr:cNvPr>
        <xdr:cNvSpPr txBox="1"/>
      </xdr:nvSpPr>
      <xdr:spPr>
        <a:xfrm>
          <a:off x="6082349" y="5047576"/>
          <a:ext cx="2966401" cy="26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Carrier Avg</a:t>
          </a:r>
          <a:r>
            <a:rPr lang="en-US" sz="1100" baseline="0">
              <a:solidFill>
                <a:schemeClr val="bg1"/>
              </a:solidFill>
              <a:latin typeface="Segoe UI Semibold" panose="020B0702040204020203" pitchFamily="34" charset="0"/>
              <a:cs typeface="Segoe UI Semibold" panose="020B0702040204020203" pitchFamily="34" charset="0"/>
            </a:rPr>
            <a:t> Delivery Day(s)</a:t>
          </a:r>
        </a:p>
        <a:p>
          <a:endParaRPr lang="en-US" sz="1100">
            <a:solidFill>
              <a:schemeClr val="bg1"/>
            </a:solidFill>
          </a:endParaRPr>
        </a:p>
      </xdr:txBody>
    </xdr:sp>
    <xdr:clientData/>
  </xdr:twoCellAnchor>
  <xdr:twoCellAnchor>
    <xdr:from>
      <xdr:col>16</xdr:col>
      <xdr:colOff>81600</xdr:colOff>
      <xdr:row>19</xdr:row>
      <xdr:rowOff>82670</xdr:rowOff>
    </xdr:from>
    <xdr:to>
      <xdr:col>20</xdr:col>
      <xdr:colOff>47625</xdr:colOff>
      <xdr:row>20</xdr:row>
      <xdr:rowOff>166687</xdr:rowOff>
    </xdr:to>
    <xdr:sp macro="" textlink="">
      <xdr:nvSpPr>
        <xdr:cNvPr id="49" name="TextBox 48">
          <a:extLst>
            <a:ext uri="{FF2B5EF4-FFF2-40B4-BE49-F238E27FC236}">
              <a16:creationId xmlns:a16="http://schemas.microsoft.com/office/drawing/2014/main" id="{FFAC3BB3-24E7-4318-A1CE-E91F43CCD1CD}"/>
            </a:ext>
          </a:extLst>
        </xdr:cNvPr>
        <xdr:cNvSpPr txBox="1"/>
      </xdr:nvSpPr>
      <xdr:spPr>
        <a:xfrm>
          <a:off x="9797100" y="3702170"/>
          <a:ext cx="2394900" cy="27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Segoe UI Semibold" panose="020B0702040204020203" pitchFamily="34" charset="0"/>
              <a:cs typeface="Segoe UI Semibold" panose="020B0702040204020203" pitchFamily="34" charset="0"/>
            </a:rPr>
            <a:t>Top 7 Destination by Delivery Rate</a:t>
          </a:r>
        </a:p>
        <a:p>
          <a:endParaRPr lang="en-US" sz="1100" baseline="0">
            <a:solidFill>
              <a:schemeClr val="bg1"/>
            </a:solidFill>
            <a:latin typeface="Segoe UI Semibold" panose="020B0702040204020203" pitchFamily="34" charset="0"/>
            <a:cs typeface="Segoe UI Semibold" panose="020B0702040204020203" pitchFamily="34" charset="0"/>
          </a:endParaRPr>
        </a:p>
        <a:p>
          <a:endParaRPr lang="en-US" sz="11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0.37736</cdr:x>
      <cdr:y>0.47434</cdr:y>
    </cdr:from>
    <cdr:to>
      <cdr:x>0.67918</cdr:x>
      <cdr:y>0.64229</cdr:y>
    </cdr:to>
    <cdr:sp macro="" textlink="Calculations!$K$8">
      <cdr:nvSpPr>
        <cdr:cNvPr id="3" name="TextBox 28">
          <a:extLst xmlns:a="http://schemas.openxmlformats.org/drawingml/2006/main">
            <a:ext uri="{FF2B5EF4-FFF2-40B4-BE49-F238E27FC236}">
              <a16:creationId xmlns:a16="http://schemas.microsoft.com/office/drawing/2014/main" id="{FD435479-4492-01B6-5719-69AEA4E47662}"/>
            </a:ext>
          </a:extLst>
        </cdr:cNvPr>
        <cdr:cNvSpPr txBox="1"/>
      </cdr:nvSpPr>
      <cdr:spPr>
        <a:xfrm xmlns:a="http://schemas.openxmlformats.org/drawingml/2006/main">
          <a:off x="824707" y="943769"/>
          <a:ext cx="659606" cy="3341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40F50D7-D2B4-42E7-9E27-6D330CE04D3D}" type="TxLink">
            <a:rPr lang="en-US" sz="1600" b="0" i="0" u="none" strike="noStrike">
              <a:solidFill>
                <a:schemeClr val="bg1"/>
              </a:solidFill>
              <a:latin typeface="Segoe UI Semibold" panose="020B0702040204020203" pitchFamily="34" charset="0"/>
              <a:cs typeface="Segoe UI Semibold" panose="020B0702040204020203" pitchFamily="34" charset="0"/>
            </a:rPr>
            <a:t>86%</a:t>
          </a:fld>
          <a:endParaRPr lang="en-US" sz="1600">
            <a:solidFill>
              <a:schemeClr val="bg1"/>
            </a:solidFill>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0.36647</cdr:x>
      <cdr:y>0.31277</cdr:y>
    </cdr:from>
    <cdr:to>
      <cdr:x>0.66828</cdr:x>
      <cdr:y>0.48072</cdr:y>
    </cdr:to>
    <cdr:sp macro="" textlink="Calculations!$K$7">
      <cdr:nvSpPr>
        <cdr:cNvPr id="4" name="TextBox 28">
          <a:extLst xmlns:a="http://schemas.openxmlformats.org/drawingml/2006/main">
            <a:ext uri="{FF2B5EF4-FFF2-40B4-BE49-F238E27FC236}">
              <a16:creationId xmlns:a16="http://schemas.microsoft.com/office/drawing/2014/main" id="{EAF57037-F78F-625E-0559-AB610B1622DE}"/>
            </a:ext>
          </a:extLst>
        </cdr:cNvPr>
        <cdr:cNvSpPr txBox="1"/>
      </cdr:nvSpPr>
      <cdr:spPr>
        <a:xfrm xmlns:a="http://schemas.openxmlformats.org/drawingml/2006/main">
          <a:off x="800894" y="622300"/>
          <a:ext cx="659606" cy="3341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BF4477AB-1D4D-4778-A21F-F2D6AB9CDC35}" type="TxLink">
            <a:rPr lang="en-US" sz="1800" b="1" i="0" u="none" strike="noStrike">
              <a:solidFill>
                <a:schemeClr val="bg1"/>
              </a:solidFill>
              <a:latin typeface="Segoe UI Semibold" panose="020B0702040204020203" pitchFamily="34" charset="0"/>
              <a:cs typeface="Segoe UI Semibold" panose="020B0702040204020203" pitchFamily="34" charset="0"/>
            </a:rPr>
            <a:t>UPS</a:t>
          </a:fld>
          <a:endParaRPr lang="en-US" sz="1800" b="1">
            <a:solidFill>
              <a:schemeClr val="bg1"/>
            </a:solidFill>
            <a:latin typeface="Segoe UI Semibold" panose="020B0702040204020203" pitchFamily="34" charset="0"/>
            <a:cs typeface="Segoe UI Semibold" panose="020B0702040204020203" pitchFamily="34"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6967594" createdVersion="5" refreshedVersion="8" minRefreshableVersion="3" recordCount="0" supportSubquery="1" supportAdvancedDrill="1" xr:uid="{4B840C8F-3167-428C-A2CC-420DA12FC6B1}">
  <cacheSource type="external" connectionId="4"/>
  <cacheFields count="2">
    <cacheField name="[logistics_dataset].[Carrier].[Carrier]" caption="Carrier" numFmtId="0" hierarchy="11" level="1">
      <sharedItems count="7">
        <s v="Amazon"/>
        <s v="DHL"/>
        <s v="FedEx"/>
        <s v="LaserShip"/>
        <s v="OnTrac"/>
        <s v="UPS"/>
        <s v="USPS"/>
      </sharedItems>
    </cacheField>
    <cacheField name="[Measures].[Delivery Rate]" caption="Delivery Rate" numFmtId="0" hierarchy="20"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8125002" createdVersion="5" refreshedVersion="8" minRefreshableVersion="3" recordCount="0" supportSubquery="1" supportAdvancedDrill="1" xr:uid="{A189B134-76D7-4F23-AB0F-1D7E6238002F}">
  <cacheSource type="external" connectionId="4"/>
  <cacheFields count="6">
    <cacheField name="[Measures].[Total Shipments]" caption="Total Shipments" numFmtId="0" hierarchy="18" level="32767"/>
    <cacheField name="[Measures].[Delivery Rate]" caption="Delivery Rate" numFmtId="0" hierarchy="20" level="32767"/>
    <cacheField name="[Measures].[AVG. Cost]" caption="AVG. Cost" numFmtId="0" hierarchy="21" level="32767"/>
    <cacheField name="[Measures].[Avg. Transit Day(s)]" caption="Avg. Transit Day(s)" numFmtId="0" hierarchy="22" level="32767"/>
    <cacheField name="[Measures].[Avg. Miles Traveled]" caption="Avg. Miles Traveled" numFmtId="0" hierarchy="23" level="32767"/>
    <cacheField name="[Measures].[Avg. Weight(kg)]" caption="Avg. Weight(kg)" numFmtId="0" hierarchy="24"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oneField="1">
      <fieldsUsage count="1">
        <fieldUsage x="0"/>
      </fieldsUsage>
    </cacheHierarchy>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oneField="1">
      <fieldsUsage count="1">
        <fieldUsage x="2"/>
      </fieldsUsage>
    </cacheHierarchy>
    <cacheHierarchy uniqueName="[Measures].[Avg. Transit Day(s)]" caption="Avg. Transit Day(s)" measure="1" displayFolder="" measureGroup="KPI measures" count="0" oneField="1">
      <fieldsUsage count="1">
        <fieldUsage x="3"/>
      </fieldsUsage>
    </cacheHierarchy>
    <cacheHierarchy uniqueName="[Measures].[Avg. Miles Traveled]" caption="Avg. Miles Traveled" measure="1" displayFolder="" measureGroup="KPI measures" count="0" oneField="1">
      <fieldsUsage count="1">
        <fieldUsage x="4"/>
      </fieldsUsage>
    </cacheHierarchy>
    <cacheHierarchy uniqueName="[Measures].[Avg. Weight(kg)]" caption="Avg. Weight(kg)" measure="1" displayFolder="" measureGroup="KPI measures" count="0" oneField="1">
      <fieldsUsage count="1">
        <fieldUsage x="5"/>
      </fieldsUsage>
    </cacheHierarchy>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5810186" createdVersion="5" refreshedVersion="8" minRefreshableVersion="3" recordCount="0" supportSubquery="1" supportAdvancedDrill="1" xr:uid="{62BD2759-A10A-4614-B69C-546294330736}">
  <cacheSource type="external" connectionId="4"/>
  <cacheFields count="2">
    <cacheField name="[logistics_dataset].[Carrier].[Carrier]" caption="Carrier" numFmtId="0" hierarchy="11" level="1">
      <sharedItems count="7">
        <s v="Amazon"/>
        <s v="DHL"/>
        <s v="FedEx"/>
        <s v="LaserShip"/>
        <s v="OnTrac"/>
        <s v="UPS"/>
        <s v="USPS"/>
      </sharedItems>
    </cacheField>
    <cacheField name="[Measures].[Avg. Transit Day(s)]" caption="Avg. Transit Day(s)" numFmtId="0" hierarchy="22"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oneField="1">
      <fieldsUsage count="1">
        <fieldUsage x="1"/>
      </fieldsUsage>
    </cacheHierarchy>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5347224" createdVersion="5" refreshedVersion="8" minRefreshableVersion="3" recordCount="0" supportSubquery="1" supportAdvancedDrill="1" xr:uid="{94C907B9-309C-4A63-B29D-32F66EBFEB63}">
  <cacheSource type="external" connectionId="4"/>
  <cacheFields count="2">
    <cacheField name="[logistics_dataset].[Destination].[Destination]" caption="Destination" numFmtId="0" hierarchy="10" level="1">
      <sharedItems count="7">
        <s v="Atlanta"/>
        <s v="Chicago"/>
        <s v="Denver"/>
        <s v="Houston"/>
        <s v="Miami"/>
        <s v="Minneapolis"/>
        <s v="Portland"/>
      </sharedItems>
    </cacheField>
    <cacheField name="[Measures].[Delivery Rate]" caption="Delivery Rate" numFmtId="0" hierarchy="20"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fieldsUsage count="2">
        <fieldUsage x="-1"/>
        <fieldUsage x="0"/>
      </fieldsUsage>
    </cacheHierarchy>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6388886" createdVersion="5" refreshedVersion="8" minRefreshableVersion="3" recordCount="0" supportSubquery="1" supportAdvancedDrill="1" xr:uid="{0BA402D3-12DB-4C8E-9878-E0521B540342}">
  <cacheSource type="external" connectionId="4"/>
  <cacheFields count="2">
    <cacheField name="[logistics_dataset].[Carrier].[Carrier]" caption="Carrier" numFmtId="0" hierarchy="11" level="1">
      <sharedItems count="7">
        <s v="Amazon"/>
        <s v="DHL"/>
        <s v="FedEx"/>
        <s v="LaserShip"/>
        <s v="OnTrac"/>
        <s v="UPS"/>
        <s v="USPS"/>
      </sharedItems>
    </cacheField>
    <cacheField name="[Measures].[Avg. Weight(kg)]" caption="Avg. Weight(kg)" numFmtId="0" hierarchy="24"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oneField="1">
      <fieldsUsage count="1">
        <fieldUsage x="1"/>
      </fieldsUsage>
    </cacheHierarchy>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6177777779" createdVersion="5" refreshedVersion="8" minRefreshableVersion="3" recordCount="0" supportSubquery="1" supportAdvancedDrill="1" xr:uid="{2832E68A-6EB8-4B81-B43C-A9D286823053}">
  <cacheSource type="external" connectionId="4"/>
  <cacheFields count="3">
    <cacheField name="[Measures].[Total Shipments]" caption="Total Shipments" numFmtId="0" hierarchy="18" level="32767"/>
    <cacheField name="[Measures].[Delivery Count]" caption="Delivery Count" numFmtId="0" hierarchy="19" level="32767"/>
    <cacheField name="[Calendar].[Month].[Month]" caption="Month" numFmtId="0" hierarchy="4" level="1">
      <sharedItems count="12">
        <s v="Jan"/>
        <s v="Feb"/>
        <s v="Mar"/>
        <s v="Apr"/>
        <s v="May"/>
        <s v="Jun"/>
        <s v="Jul"/>
        <s v="Aug"/>
        <s v="Sep"/>
        <s v="Oct"/>
        <s v="Nov"/>
        <s v="Dec"/>
      </sharedItems>
    </cacheField>
  </cacheFields>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oneField="1">
      <fieldsUsage count="1">
        <fieldUsage x="0"/>
      </fieldsUsage>
    </cacheHierarchy>
    <cacheHierarchy uniqueName="[Measures].[Delivery Count]" caption="Delivery Count" measure="1" displayFolder="" measureGroup="KPI measures" count="0" oneField="1">
      <fieldsUsage count="1">
        <fieldUsage x="1"/>
      </fieldsUsage>
    </cacheHierarchy>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98109490739" createdVersion="5" refreshedVersion="8" minRefreshableVersion="3" recordCount="0" supportSubquery="1" supportAdvancedDrill="1" xr:uid="{F16BEE64-FB39-4C73-A644-0D3E85C3DF4E}">
  <cacheSource type="external" connectionId="4"/>
  <cacheFields count="2">
    <cacheField name="[logistics_dataset].[Carrier].[Carrier]" caption="Carrier" numFmtId="0" hierarchy="11" level="1">
      <sharedItems count="7">
        <s v="Amazon"/>
        <s v="DHL"/>
        <s v="FedEx"/>
        <s v="LaserShip"/>
        <s v="OnTrac"/>
        <s v="UPS"/>
        <s v="USPS"/>
      </sharedItems>
    </cacheField>
    <cacheField name="[Measures].[AVG. Cost]" caption="AVG. Cost" numFmtId="0" hierarchy="21"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oneField="1">
      <fieldsUsage count="1">
        <fieldUsage x="1"/>
      </fieldsUsage>
    </cacheHierarchy>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1986921298" createdVersion="3" refreshedVersion="8" minRefreshableVersion="3" recordCount="0" supportSubquery="1" supportAdvancedDrill="1" xr:uid="{1C23BDC6-3F8B-46B3-A439-9E21B69AC4CF}">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285257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h Banga" refreshedDate="46113.675561689815" createdVersion="3" refreshedVersion="8" minRefreshableVersion="3" recordCount="0" supportSubquery="1" supportAdvancedDrill="1" xr:uid="{2312E8DF-EF79-49BB-9C35-A3B2E01C4543}">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0"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s]" caption="Total Shipments"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420882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3F2C04-5718-4848-B55C-F9FF094360E5}" name="PivotTable11" cacheId="230" applyNumberFormats="0" applyBorderFormats="0" applyFontFormats="0" applyPatternFormats="0" applyAlignmentFormats="0" applyWidthHeightFormats="1" dataCaption="Values" tag="c5587bad-57b8-45fa-b18e-3950fa5234c8" updatedVersion="8" minRefreshableVersion="5" useAutoFormatting="1" rowGrandTotals="0" itemPrintTitles="1" createdVersion="5" indent="0" outline="1" outlineData="1" multipleFieldFilters="0" chartFormat="9" rowHeaderCaption="Destination">
  <location ref="M7:N14" firstHeaderRow="1" firstDataRow="1" firstDataCol="1"/>
  <pivotFields count="2">
    <pivotField axis="axisRow" allDrilled="1" subtotalTop="0" showAll="0" measureFilter="1" dataSourceSort="1" defaultSubtotal="0" defaultAttributeDrillState="1">
      <items count="7">
        <item n="Atlanta"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numFmtId="9"/>
  </dataFields>
  <formats count="1">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7" filterVal="7"/>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D4DC4-92AA-4B39-AF64-12C7C5A660EE}" name="PivotTable10" cacheId="232" applyNumberFormats="0" applyBorderFormats="0" applyFontFormats="0" applyPatternFormats="0" applyAlignmentFormats="0" applyWidthHeightFormats="1" dataCaption="Values" tag="3bc19b48-716d-4a64-83c4-d61aa97400f0" updatedVersion="8" minRefreshableVersion="5" useAutoFormatting="1" rowGrandTotals="0" itemPrintTitles="1" createdVersion="5" indent="0" outline="1" outlineData="1" multipleFieldFilters="0" chartFormat="9" rowHeaderCaption="Carrier">
  <location ref="I18:J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numFmtId="165"/>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9E8EC4-C943-434D-AC8E-738C0C7E2F8F}" name="PivotTable9" cacheId="234" applyNumberFormats="0" applyBorderFormats="0" applyFontFormats="0" applyPatternFormats="0" applyAlignmentFormats="0" applyWidthHeightFormats="1" dataCaption="Values" tag="cbf7295a-a407-4723-b1fe-380cc7a46ac3" updatedVersion="8" minRefreshableVersion="5" useAutoFormatting="1" rowGrandTotals="0" itemPrintTitles="1" createdVersion="5" indent="0" outline="1" outlineData="1" multipleFieldFilters="0" chartFormat="4" rowHeaderCaption="Carrier">
  <location ref="F18:G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4BBBAB-9F39-4F7A-8A4E-7E1822B23D8E}" name="PivotTable4" cacheId="236" applyNumberFormats="0" applyBorderFormats="0" applyFontFormats="0" applyPatternFormats="0" applyAlignmentFormats="0" applyWidthHeightFormats="1" dataCaption="Values" tag="d53ca2f0-77a4-4d8c-9b68-416afaa96a9a" updatedVersion="8" minRefreshableVersion="5" useAutoFormatting="1" rowGrandTotals="0" itemPrintTitles="1" createdVersion="5" indent="0" outline="1" outlineData="1" multipleFieldFilters="0" chartFormat="15" rowHeaderCaption="Carrier">
  <location ref="I7:J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dataFields>
  <chartFormats count="8">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 chart="12" format="12">
      <pivotArea type="data" outline="0" fieldPosition="0">
        <references count="2">
          <reference field="4294967294" count="1" selected="0">
            <x v="0"/>
          </reference>
          <reference field="0" count="1" selected="0">
            <x v="2"/>
          </reference>
        </references>
      </pivotArea>
    </chartFormat>
    <chartFormat chart="12" format="13">
      <pivotArea type="data" outline="0" fieldPosition="0">
        <references count="2">
          <reference field="4294967294" count="1" selected="0">
            <x v="0"/>
          </reference>
          <reference field="0" count="1" selected="0">
            <x v="3"/>
          </reference>
        </references>
      </pivotArea>
    </chartFormat>
    <chartFormat chart="12" format="14">
      <pivotArea type="data" outline="0" fieldPosition="0">
        <references count="2">
          <reference field="4294967294" count="1" selected="0">
            <x v="0"/>
          </reference>
          <reference field="0" count="1" selected="0">
            <x v="4"/>
          </reference>
        </references>
      </pivotArea>
    </chartFormat>
    <chartFormat chart="12" format="15">
      <pivotArea type="data" outline="0" fieldPosition="0">
        <references count="2">
          <reference field="4294967294" count="1" selected="0">
            <x v="0"/>
          </reference>
          <reference field="0" count="1" selected="0">
            <x v="5"/>
          </reference>
        </references>
      </pivotArea>
    </chartFormat>
    <chartFormat chart="12" format="16">
      <pivotArea type="data" outline="0" fieldPosition="0">
        <references count="2">
          <reference field="4294967294" count="1" selected="0">
            <x v="0"/>
          </reference>
          <reference field="0" count="1" selected="0">
            <x v="6"/>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698E6-8C56-42F6-AD05-BFF3530C3B98}" name="PivotTable3" cacheId="261" applyNumberFormats="0" applyBorderFormats="0" applyFontFormats="0" applyPatternFormats="0" applyAlignmentFormats="0" applyWidthHeightFormats="1" dataCaption="Values" tag="67aa2d77-93f4-444c-a0eb-3c8b8c3ae2d6" updatedVersion="8" minRefreshableVersion="5" useAutoFormatting="1" rowGrandTotals="0" itemPrintTitles="1" createdVersion="5" indent="0" outline="1" outlineData="1" multipleFieldFilters="0" chartFormat="7" rowHeaderCaption="Carrier">
  <location ref="F7:G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numFmtId="166"/>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F15EA-E73A-4677-997C-456A6B62EB60}" name="PivotTable2" cacheId="241" applyNumberFormats="0" applyBorderFormats="0" applyFontFormats="0" applyPatternFormats="0" applyAlignmentFormats="0" applyWidthHeightFormats="1" dataCaption="Values" tag="80668910-61de-4b82-b423-b93a96ffe10d" updatedVersion="8" minRefreshableVersion="5" useAutoFormatting="1" subtotalHiddenItems="1" rowGrandTotals="0" itemPrintTitles="1" createdVersion="5" indent="0" outline="1" outlineData="1" multipleFieldFilters="0" chartFormat="8" rowHeaderCaption="Month">
  <location ref="B7:D1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1"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C717F7-B62C-438D-A1EF-11E82B25FC65}" name="PivotTable1" cacheId="243" applyNumberFormats="0" applyBorderFormats="0" applyFontFormats="0" applyPatternFormats="0" applyAlignmentFormats="0" applyWidthHeightFormats="1" dataCaption="Values" tag="e1624783-6ba2-4940-ba21-ddfc38e6cde2" updatedVersion="8" minRefreshableVersion="5" useAutoFormatting="1" itemPrintTitles="1" createdVersion="5" indent="0" outline="1" outlineData="1" multipleFieldFilters="0">
  <location ref="B2:G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D198AA52-C3FE-44DD-9478-008339B2BD86}" sourceName="[logistics_dataset].[Carrier]">
  <pivotTables>
    <pivotTable tabId="1" name="PivotTable3"/>
  </pivotTables>
  <data>
    <olap pivotCacheId="1612852570">
      <levels count="2">
        <level uniqueName="[logistics_dataset].[Carrier].[(All)]" sourceCaption="(All)" count="0"/>
        <level uniqueName="[logistics_dataset].[Carrier].[Carrier]" sourceCaption="Carrier" count="7">
          <ranges>
            <range startItem="0">
              <i n="[logistics_dataset].[Carrier].&amp;[Amazon]" c="Amazon"/>
              <i n="[logistics_dataset].[Carrier].&amp;[DHL]" c="DHL"/>
              <i n="[logistics_dataset].[Carrier].&amp;[FedEx]" c="FedEx"/>
              <i n="[logistics_dataset].[Carrier].&amp;[LaserShip]" c="LaserShip"/>
              <i n="[logistics_dataset].[Carrier].&amp;[OnTrac]" c="OnTrac"/>
              <i n="[logistics_dataset].[Carrier].&amp;[UPS]" c="UPS"/>
              <i n="[logistics_dataset].[Carrier].&amp;[USPS]" c="USPS"/>
            </range>
          </ranges>
        </level>
      </levels>
      <selections count="1">
        <selection n="[logistics_dataset].[Carr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F6C8CD02-B2D7-403D-8060-0935BF671BCE}" cache="Slicer_Carrier" caption="Carrier" columnCount="7" showCaption="0" level="1" style="Slicer Style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E1E7629B-982C-4673-810A-921105D53DDD}" sourceName="[Calendar].[Date]">
  <pivotTables>
    <pivotTable tabId="1" name="PivotTable4"/>
    <pivotTable tabId="1" name="PivotTable1"/>
    <pivotTable tabId="1" name="PivotTable10"/>
    <pivotTable tabId="1" name="PivotTable11"/>
    <pivotTable tabId="1" name="PivotTable2"/>
    <pivotTable tabId="1" name="PivotTable3"/>
    <pivotTable tabId="1" name="PivotTable9"/>
  </pivotTables>
  <state minimalRefreshVersion="6" lastRefreshVersion="6" pivotCacheId="24208827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7728EC6-D4E4-40E6-948D-A61E6CAD1298}" cache="Timeline_Date" caption="Date" level="2" selectionLevel="2" scrollPosition="2023-05-19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993D-AB77-4FEA-8DAB-E320BAF86908}">
  <dimension ref="B1:N25"/>
  <sheetViews>
    <sheetView workbookViewId="0">
      <selection activeCell="J12" sqref="J12"/>
    </sheetView>
  </sheetViews>
  <sheetFormatPr defaultRowHeight="15" x14ac:dyDescent="0.25"/>
  <cols>
    <col min="2" max="2" width="15.7109375" bestFit="1" customWidth="1"/>
    <col min="3" max="3" width="13.28515625" bestFit="1" customWidth="1"/>
    <col min="4" max="4" width="10" bestFit="1" customWidth="1"/>
    <col min="5" max="5" width="17.85546875" bestFit="1" customWidth="1"/>
    <col min="6" max="6" width="9.5703125" bestFit="1" customWidth="1"/>
    <col min="7" max="7" width="10" bestFit="1" customWidth="1"/>
    <col min="8" max="8" width="14.7109375" bestFit="1" customWidth="1"/>
    <col min="9" max="9" width="9.5703125" bestFit="1" customWidth="1"/>
    <col min="10" max="10" width="13.28515625" bestFit="1" customWidth="1"/>
    <col min="13" max="13" width="13.85546875" bestFit="1" customWidth="1"/>
    <col min="14" max="14" width="13.28515625" bestFit="1" customWidth="1"/>
  </cols>
  <sheetData>
    <row r="1" spans="2:14" x14ac:dyDescent="0.25">
      <c r="B1" s="5" t="s">
        <v>7</v>
      </c>
      <c r="C1" s="5"/>
      <c r="D1" s="5"/>
      <c r="E1" s="5"/>
      <c r="F1" s="5"/>
      <c r="G1" s="5"/>
    </row>
    <row r="2" spans="2:14" x14ac:dyDescent="0.25">
      <c r="B2" t="s">
        <v>0</v>
      </c>
      <c r="C2" t="s">
        <v>2</v>
      </c>
      <c r="D2" t="s">
        <v>3</v>
      </c>
      <c r="E2" t="s">
        <v>4</v>
      </c>
      <c r="F2" t="s">
        <v>5</v>
      </c>
      <c r="G2" t="s">
        <v>6</v>
      </c>
    </row>
    <row r="3" spans="2:14" x14ac:dyDescent="0.25">
      <c r="B3" s="1">
        <v>2000</v>
      </c>
      <c r="C3" s="3">
        <v>0.82399999999999995</v>
      </c>
      <c r="D3" s="4">
        <v>204.982395</v>
      </c>
      <c r="E3" s="2">
        <v>4.1825000000000001</v>
      </c>
      <c r="F3" s="4">
        <v>1275.8679999999999</v>
      </c>
      <c r="G3" s="4">
        <v>30.184799999999999</v>
      </c>
    </row>
    <row r="4" spans="2:14" x14ac:dyDescent="0.25">
      <c r="B4" s="1">
        <f>GETPIVOTDATA("[Measures].[Total Shipments]",$B$2)</f>
        <v>2000</v>
      </c>
      <c r="C4" s="3">
        <f>GETPIVOTDATA("[Measures].[Delivery Rate]",$B$2)</f>
        <v>0.82399999999999995</v>
      </c>
      <c r="D4" s="11">
        <f>GETPIVOTDATA("[Measures].[AVG. Cost]",$B$2)</f>
        <v>204.982395</v>
      </c>
      <c r="E4" s="2" t="str">
        <f>ROUND(GETPIVOTDATA("[Measures].[Avg. Transit Day(s)]",$B$2),0) &amp; IF(GETPIVOTDATA("[Measures].[Avg. Transit Day(s)]",$B$2)&gt;1, "Days", "Day")</f>
        <v>4Days</v>
      </c>
      <c r="F4" s="4">
        <f>GETPIVOTDATA("[Measures].[Avg. Miles Traveled]",$B$2)</f>
        <v>1275.8679999999999</v>
      </c>
      <c r="G4" s="4">
        <f>GETPIVOTDATA("[Measures].[Avg. Weight(kg)]",$B$2)</f>
        <v>30.184799999999999</v>
      </c>
    </row>
    <row r="6" spans="2:14" x14ac:dyDescent="0.25">
      <c r="B6" s="5" t="s">
        <v>8</v>
      </c>
      <c r="C6" s="5"/>
      <c r="D6" s="5"/>
      <c r="F6" s="5" t="s">
        <v>29</v>
      </c>
      <c r="G6" s="5"/>
      <c r="I6" s="5" t="s">
        <v>31</v>
      </c>
      <c r="J6" s="5"/>
      <c r="M6" s="5" t="s">
        <v>34</v>
      </c>
      <c r="N6" s="5"/>
    </row>
    <row r="7" spans="2:14" x14ac:dyDescent="0.25">
      <c r="B7" s="6" t="s">
        <v>21</v>
      </c>
      <c r="C7" t="s">
        <v>0</v>
      </c>
      <c r="D7" t="s">
        <v>1</v>
      </c>
      <c r="F7" s="6" t="s">
        <v>30</v>
      </c>
      <c r="G7" t="s">
        <v>3</v>
      </c>
      <c r="I7" s="6" t="s">
        <v>30</v>
      </c>
      <c r="J7" t="s">
        <v>2</v>
      </c>
      <c r="K7" s="7" t="str">
        <f>_xlfn.XLOOKUP(MAX(J8:J14),J8:J14,I8:I14,0,0,1)</f>
        <v>UPS</v>
      </c>
      <c r="M7" s="6" t="s">
        <v>42</v>
      </c>
      <c r="N7" t="s">
        <v>2</v>
      </c>
    </row>
    <row r="8" spans="2:14" x14ac:dyDescent="0.25">
      <c r="B8" s="7" t="s">
        <v>9</v>
      </c>
      <c r="C8" s="1">
        <v>163</v>
      </c>
      <c r="D8" s="2">
        <v>137</v>
      </c>
      <c r="F8" s="7" t="s">
        <v>22</v>
      </c>
      <c r="G8" s="11">
        <v>193.97339416058395</v>
      </c>
      <c r="I8" s="7" t="s">
        <v>22</v>
      </c>
      <c r="J8" s="3">
        <v>0.79197080291970801</v>
      </c>
      <c r="K8" s="8">
        <f>MAX(J8:J14)</f>
        <v>0.86328125</v>
      </c>
      <c r="M8" s="7" t="s">
        <v>35</v>
      </c>
      <c r="N8" s="10">
        <v>0.88721804511278191</v>
      </c>
    </row>
    <row r="9" spans="2:14" x14ac:dyDescent="0.25">
      <c r="B9" s="7" t="s">
        <v>10</v>
      </c>
      <c r="C9" s="1">
        <v>139</v>
      </c>
      <c r="D9" s="2">
        <v>113</v>
      </c>
      <c r="F9" s="7" t="s">
        <v>23</v>
      </c>
      <c r="G9" s="11">
        <v>221.58569395017796</v>
      </c>
      <c r="I9" s="7" t="s">
        <v>23</v>
      </c>
      <c r="J9" s="3">
        <v>0.8220640569395018</v>
      </c>
      <c r="M9" s="7" t="s">
        <v>36</v>
      </c>
      <c r="N9" s="10">
        <v>0.83766233766233766</v>
      </c>
    </row>
    <row r="10" spans="2:14" x14ac:dyDescent="0.25">
      <c r="B10" s="7" t="s">
        <v>11</v>
      </c>
      <c r="C10" s="1">
        <v>167</v>
      </c>
      <c r="D10" s="2">
        <v>138</v>
      </c>
      <c r="F10" s="7" t="s">
        <v>24</v>
      </c>
      <c r="G10" s="11">
        <v>217.89291525423729</v>
      </c>
      <c r="I10" s="7" t="s">
        <v>24</v>
      </c>
      <c r="J10" s="3">
        <v>0.82711864406779656</v>
      </c>
      <c r="M10" s="7" t="s">
        <v>37</v>
      </c>
      <c r="N10" s="10">
        <v>0.852112676056338</v>
      </c>
    </row>
    <row r="11" spans="2:14" x14ac:dyDescent="0.25">
      <c r="B11" s="7" t="s">
        <v>12</v>
      </c>
      <c r="C11" s="1">
        <v>162</v>
      </c>
      <c r="D11" s="2">
        <v>133</v>
      </c>
      <c r="F11" s="7" t="s">
        <v>25</v>
      </c>
      <c r="G11" s="11">
        <v>207.59366336633661</v>
      </c>
      <c r="I11" s="7" t="s">
        <v>25</v>
      </c>
      <c r="J11" s="3">
        <v>0.81848184818481851</v>
      </c>
      <c r="M11" s="7" t="s">
        <v>38</v>
      </c>
      <c r="N11" s="10">
        <v>0.82539682539682535</v>
      </c>
    </row>
    <row r="12" spans="2:14" x14ac:dyDescent="0.25">
      <c r="B12" s="7" t="s">
        <v>13</v>
      </c>
      <c r="C12" s="1">
        <v>173</v>
      </c>
      <c r="D12" s="2">
        <v>143</v>
      </c>
      <c r="F12" s="7" t="s">
        <v>26</v>
      </c>
      <c r="G12" s="11">
        <v>184.75715719063544</v>
      </c>
      <c r="I12" s="7" t="s">
        <v>26</v>
      </c>
      <c r="J12" s="3">
        <v>0.8294314381270903</v>
      </c>
      <c r="M12" s="7" t="s">
        <v>39</v>
      </c>
      <c r="N12" s="10">
        <v>0.82926829268292679</v>
      </c>
    </row>
    <row r="13" spans="2:14" x14ac:dyDescent="0.25">
      <c r="B13" s="7" t="s">
        <v>14</v>
      </c>
      <c r="C13" s="1">
        <v>164</v>
      </c>
      <c r="D13" s="2">
        <v>136</v>
      </c>
      <c r="F13" s="7" t="s">
        <v>27</v>
      </c>
      <c r="G13" s="11">
        <v>229.06425781249999</v>
      </c>
      <c r="I13" s="7" t="s">
        <v>27</v>
      </c>
      <c r="J13" s="3">
        <v>0.86328125</v>
      </c>
      <c r="M13" s="7" t="s">
        <v>40</v>
      </c>
      <c r="N13" s="10">
        <v>0.83783783783783783</v>
      </c>
    </row>
    <row r="14" spans="2:14" x14ac:dyDescent="0.25">
      <c r="B14" s="7" t="s">
        <v>15</v>
      </c>
      <c r="C14" s="1">
        <v>166</v>
      </c>
      <c r="D14" s="2">
        <v>139</v>
      </c>
      <c r="F14" s="7" t="s">
        <v>28</v>
      </c>
      <c r="G14" s="11">
        <v>183.17934931506849</v>
      </c>
      <c r="I14" s="7" t="s">
        <v>28</v>
      </c>
      <c r="J14" s="3">
        <v>0.81849315068493156</v>
      </c>
      <c r="M14" s="7" t="s">
        <v>41</v>
      </c>
      <c r="N14" s="10">
        <v>0.86301369863013699</v>
      </c>
    </row>
    <row r="15" spans="2:14" x14ac:dyDescent="0.25">
      <c r="B15" s="7" t="s">
        <v>16</v>
      </c>
      <c r="C15" s="1">
        <v>182</v>
      </c>
      <c r="D15" s="2">
        <v>145</v>
      </c>
    </row>
    <row r="16" spans="2:14" x14ac:dyDescent="0.25">
      <c r="B16" s="7" t="s">
        <v>17</v>
      </c>
      <c r="C16" s="1">
        <v>163</v>
      </c>
      <c r="D16" s="2">
        <v>138</v>
      </c>
    </row>
    <row r="17" spans="2:10" x14ac:dyDescent="0.25">
      <c r="B17" s="7" t="s">
        <v>18</v>
      </c>
      <c r="C17" s="1">
        <v>173</v>
      </c>
      <c r="D17" s="2">
        <v>149</v>
      </c>
      <c r="F17" s="5" t="s">
        <v>32</v>
      </c>
      <c r="G17" s="5"/>
      <c r="I17" s="5" t="s">
        <v>33</v>
      </c>
      <c r="J17" s="5"/>
    </row>
    <row r="18" spans="2:10" x14ac:dyDescent="0.25">
      <c r="B18" s="7" t="s">
        <v>19</v>
      </c>
      <c r="C18" s="1">
        <v>178</v>
      </c>
      <c r="D18" s="2">
        <v>145</v>
      </c>
      <c r="F18" s="6" t="s">
        <v>30</v>
      </c>
      <c r="G18" t="s">
        <v>6</v>
      </c>
      <c r="I18" s="6" t="s">
        <v>30</v>
      </c>
      <c r="J18" t="s">
        <v>4</v>
      </c>
    </row>
    <row r="19" spans="2:10" x14ac:dyDescent="0.25">
      <c r="B19" s="7" t="s">
        <v>20</v>
      </c>
      <c r="C19" s="1">
        <v>170</v>
      </c>
      <c r="D19" s="2">
        <v>132</v>
      </c>
      <c r="F19" s="7" t="s">
        <v>22</v>
      </c>
      <c r="G19" s="4">
        <v>26.23868613138686</v>
      </c>
      <c r="I19" s="7" t="s">
        <v>22</v>
      </c>
      <c r="J19" s="9">
        <v>4.3248175182481754</v>
      </c>
    </row>
    <row r="20" spans="2:10" x14ac:dyDescent="0.25">
      <c r="F20" s="7" t="s">
        <v>23</v>
      </c>
      <c r="G20" s="4">
        <v>25.019217081850531</v>
      </c>
      <c r="I20" s="7" t="s">
        <v>23</v>
      </c>
      <c r="J20" s="9">
        <v>4.2704626334519569</v>
      </c>
    </row>
    <row r="21" spans="2:10" x14ac:dyDescent="0.25">
      <c r="F21" s="7" t="s">
        <v>24</v>
      </c>
      <c r="G21" s="4">
        <v>46.27457627118644</v>
      </c>
      <c r="I21" s="7" t="s">
        <v>24</v>
      </c>
      <c r="J21" s="9">
        <v>4.3016949152542372</v>
      </c>
    </row>
    <row r="22" spans="2:10" x14ac:dyDescent="0.25">
      <c r="F22" s="7" t="s">
        <v>25</v>
      </c>
      <c r="G22" s="4">
        <v>28.993729372937295</v>
      </c>
      <c r="I22" s="7" t="s">
        <v>25</v>
      </c>
      <c r="J22" s="9">
        <v>4.0363036303630366</v>
      </c>
    </row>
    <row r="23" spans="2:10" x14ac:dyDescent="0.25">
      <c r="F23" s="7" t="s">
        <v>26</v>
      </c>
      <c r="G23" s="4">
        <v>26.569230769230767</v>
      </c>
      <c r="I23" s="7" t="s">
        <v>26</v>
      </c>
      <c r="J23" s="9">
        <v>4.1170568561872907</v>
      </c>
    </row>
    <row r="24" spans="2:10" x14ac:dyDescent="0.25">
      <c r="F24" s="7" t="s">
        <v>27</v>
      </c>
      <c r="G24" s="4">
        <v>25.694921874999999</v>
      </c>
      <c r="I24" s="7" t="s">
        <v>27</v>
      </c>
      <c r="J24" s="9">
        <v>4.19921875</v>
      </c>
    </row>
    <row r="25" spans="2:10" x14ac:dyDescent="0.25">
      <c r="F25" s="7" t="s">
        <v>28</v>
      </c>
      <c r="G25" s="4">
        <v>31.478082191780825</v>
      </c>
      <c r="I25" s="7" t="s">
        <v>28</v>
      </c>
      <c r="J25" s="9">
        <v>4.0479452054794525</v>
      </c>
    </row>
  </sheetData>
  <mergeCells count="7">
    <mergeCell ref="I6:J6"/>
    <mergeCell ref="M6:N6"/>
    <mergeCell ref="F17:G17"/>
    <mergeCell ref="I17:J17"/>
    <mergeCell ref="B1:G1"/>
    <mergeCell ref="B6:D6"/>
    <mergeCell ref="F6: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2FA1-D508-49F2-8C93-681EADFDB2C8}">
  <dimension ref="A1:AA1"/>
  <sheetViews>
    <sheetView showGridLines="0" tabSelected="1" topLeftCell="B1" zoomScale="90" zoomScaleNormal="90" workbookViewId="0">
      <selection activeCell="AG19" sqref="AG19"/>
    </sheetView>
  </sheetViews>
  <sheetFormatPr defaultRowHeight="15" x14ac:dyDescent="0.25"/>
  <cols>
    <col min="1" max="27" width="9.140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6ED7BC6-6C1C-4DEB-9F56-3EEF0B2634A3}">
  <ds:schemaRefs/>
</ds:datastoreItem>
</file>

<file path=customXml/itemProps2.xml><?xml version="1.0" encoding="utf-8"?>
<ds:datastoreItem xmlns:ds="http://schemas.openxmlformats.org/officeDocument/2006/customXml" ds:itemID="{70E7114C-9740-40A7-9F96-4EB0E04CF5B8}">
  <ds:schemaRefs>
    <ds:schemaRef ds:uri="http://schemas.microsoft.com/DataMashup"/>
  </ds:schemaRefs>
</ds:datastoreItem>
</file>

<file path=customXml/itemProps3.xml><?xml version="1.0" encoding="utf-8"?>
<ds:datastoreItem xmlns:ds="http://schemas.openxmlformats.org/officeDocument/2006/customXml" ds:itemID="{F9DBD95F-1E3B-4EF7-B1EC-B0FD1D0E1289}">
  <ds:schemaRefs/>
</ds:datastoreItem>
</file>

<file path=customXml/itemProps4.xml><?xml version="1.0" encoding="utf-8"?>
<ds:datastoreItem xmlns:ds="http://schemas.openxmlformats.org/officeDocument/2006/customXml" ds:itemID="{C35FABB3-8451-4B0B-9D95-43598C4C1419}">
  <ds:schemaRefs/>
</ds:datastoreItem>
</file>

<file path=customXml/itemProps5.xml><?xml version="1.0" encoding="utf-8"?>
<ds:datastoreItem xmlns:ds="http://schemas.openxmlformats.org/officeDocument/2006/customXml" ds:itemID="{E824938F-F253-4F10-B3B7-66387CF2FF99}">
  <ds:schemaRefs/>
</ds:datastoreItem>
</file>

<file path=customXml/itemProps6.xml><?xml version="1.0" encoding="utf-8"?>
<ds:datastoreItem xmlns:ds="http://schemas.openxmlformats.org/officeDocument/2006/customXml" ds:itemID="{18F0565E-6EA5-497A-8FE2-12E87EB91D50}">
  <ds:schemaRefs/>
</ds:datastoreItem>
</file>

<file path=customXml/itemProps7.xml><?xml version="1.0" encoding="utf-8"?>
<ds:datastoreItem xmlns:ds="http://schemas.openxmlformats.org/officeDocument/2006/customXml" ds:itemID="{B096DC28-BB7D-4CFB-B74B-5ABB15E35DE1}">
  <ds:schemaRefs/>
</ds:datastoreItem>
</file>

<file path=customXml/itemProps8.xml><?xml version="1.0" encoding="utf-8"?>
<ds:datastoreItem xmlns:ds="http://schemas.openxmlformats.org/officeDocument/2006/customXml" ds:itemID="{B16707C1-39CD-487D-8DEA-7A8A9A30E971}">
  <ds:schemaRefs/>
</ds:datastoreItem>
</file>

<file path=customXml/itemProps9.xml><?xml version="1.0" encoding="utf-8"?>
<ds:datastoreItem xmlns:ds="http://schemas.openxmlformats.org/officeDocument/2006/customXml" ds:itemID="{8B81D95E-3910-4ED0-A81D-C8408E0D2BBB}">
  <ds:schemaRefs/>
</ds:datastoreItem>
</file>

<file path=customXml/itemProps10.xml><?xml version="1.0" encoding="utf-8"?>
<ds:datastoreItem xmlns:ds="http://schemas.openxmlformats.org/officeDocument/2006/customXml" ds:itemID="{5E57A6EE-7E36-4689-9B72-EB12AD60FDFC}">
  <ds:schemaRefs/>
</ds:datastoreItem>
</file>

<file path=customXml/itemProps11.xml><?xml version="1.0" encoding="utf-8"?>
<ds:datastoreItem xmlns:ds="http://schemas.openxmlformats.org/officeDocument/2006/customXml" ds:itemID="{D06F94F7-25A0-487F-BC19-42FF54D9F518}">
  <ds:schemaRefs/>
</ds:datastoreItem>
</file>

<file path=customXml/itemProps12.xml><?xml version="1.0" encoding="utf-8"?>
<ds:datastoreItem xmlns:ds="http://schemas.openxmlformats.org/officeDocument/2006/customXml" ds:itemID="{7F6D0F0E-2BFA-41C6-802E-4F9CE790AB40}">
  <ds:schemaRefs/>
</ds:datastoreItem>
</file>

<file path=customXml/itemProps13.xml><?xml version="1.0" encoding="utf-8"?>
<ds:datastoreItem xmlns:ds="http://schemas.openxmlformats.org/officeDocument/2006/customXml" ds:itemID="{9C9392E9-76B2-4D29-ABD6-53379DEE659A}">
  <ds:schemaRefs/>
</ds:datastoreItem>
</file>

<file path=customXml/itemProps14.xml><?xml version="1.0" encoding="utf-8"?>
<ds:datastoreItem xmlns:ds="http://schemas.openxmlformats.org/officeDocument/2006/customXml" ds:itemID="{FE78B4A0-BF42-48BF-B575-5BEF3138259E}">
  <ds:schemaRefs/>
</ds:datastoreItem>
</file>

<file path=customXml/itemProps15.xml><?xml version="1.0" encoding="utf-8"?>
<ds:datastoreItem xmlns:ds="http://schemas.openxmlformats.org/officeDocument/2006/customXml" ds:itemID="{C0972A7B-E181-420E-A3DF-5CC75602954E}">
  <ds:schemaRefs/>
</ds:datastoreItem>
</file>

<file path=customXml/itemProps16.xml><?xml version="1.0" encoding="utf-8"?>
<ds:datastoreItem xmlns:ds="http://schemas.openxmlformats.org/officeDocument/2006/customXml" ds:itemID="{936D04EE-8094-4F5D-9449-D20B46484FD3}">
  <ds:schemaRefs/>
</ds:datastoreItem>
</file>

<file path=customXml/itemProps17.xml><?xml version="1.0" encoding="utf-8"?>
<ds:datastoreItem xmlns:ds="http://schemas.openxmlformats.org/officeDocument/2006/customXml" ds:itemID="{CD8A1481-AADD-4201-96D1-2874D58E19C1}">
  <ds:schemaRefs/>
</ds:datastoreItem>
</file>

<file path=customXml/itemProps18.xml><?xml version="1.0" encoding="utf-8"?>
<ds:datastoreItem xmlns:ds="http://schemas.openxmlformats.org/officeDocument/2006/customXml" ds:itemID="{10F4B2F0-7998-4B77-9673-26EF7996BC34}">
  <ds:schemaRefs/>
</ds:datastoreItem>
</file>

<file path=customXml/itemProps19.xml><?xml version="1.0" encoding="utf-8"?>
<ds:datastoreItem xmlns:ds="http://schemas.openxmlformats.org/officeDocument/2006/customXml" ds:itemID="{80FD9DE1-5C77-4630-A0A7-598015FC6C9C}">
  <ds:schemaRefs/>
</ds:datastoreItem>
</file>

<file path=customXml/itemProps20.xml><?xml version="1.0" encoding="utf-8"?>
<ds:datastoreItem xmlns:ds="http://schemas.openxmlformats.org/officeDocument/2006/customXml" ds:itemID="{0BC7C4FE-7E1E-4011-A5D4-433291D59006}">
  <ds:schemaRefs/>
</ds:datastoreItem>
</file>

<file path=customXml/itemProps21.xml><?xml version="1.0" encoding="utf-8"?>
<ds:datastoreItem xmlns:ds="http://schemas.openxmlformats.org/officeDocument/2006/customXml" ds:itemID="{1DAB3A73-DB6C-4EDE-A6A0-8404774446A0}">
  <ds:schemaRefs/>
</ds:datastoreItem>
</file>

<file path=customXml/itemProps22.xml><?xml version="1.0" encoding="utf-8"?>
<ds:datastoreItem xmlns:ds="http://schemas.openxmlformats.org/officeDocument/2006/customXml" ds:itemID="{B3562701-A770-45C4-A1B1-F21FB7E32857}">
  <ds:schemaRefs/>
</ds:datastoreItem>
</file>

<file path=customXml/itemProps23.xml><?xml version="1.0" encoding="utf-8"?>
<ds:datastoreItem xmlns:ds="http://schemas.openxmlformats.org/officeDocument/2006/customXml" ds:itemID="{B07F6C60-26CB-4291-8E13-3FC5259C43F2}">
  <ds:schemaRefs/>
</ds:datastoreItem>
</file>

<file path=customXml/itemProps24.xml><?xml version="1.0" encoding="utf-8"?>
<ds:datastoreItem xmlns:ds="http://schemas.openxmlformats.org/officeDocument/2006/customXml" ds:itemID="{5F7F6677-85FB-4114-8EDE-54C6D68849BC}">
  <ds:schemaRefs/>
</ds:datastoreItem>
</file>

<file path=customXml/itemProps25.xml><?xml version="1.0" encoding="utf-8"?>
<ds:datastoreItem xmlns:ds="http://schemas.openxmlformats.org/officeDocument/2006/customXml" ds:itemID="{36E72C62-3349-4D7C-AB96-B0714BE7285B}">
  <ds:schemaRefs/>
</ds:datastoreItem>
</file>

<file path=customXml/itemProps26.xml><?xml version="1.0" encoding="utf-8"?>
<ds:datastoreItem xmlns:ds="http://schemas.openxmlformats.org/officeDocument/2006/customXml" ds:itemID="{130EC027-5C2C-422E-9E4C-7949E2CE0CF1}">
  <ds:schemaRefs/>
</ds:datastoreItem>
</file>

<file path=customXml/itemProps27.xml><?xml version="1.0" encoding="utf-8"?>
<ds:datastoreItem xmlns:ds="http://schemas.openxmlformats.org/officeDocument/2006/customXml" ds:itemID="{60816B38-B44E-4FDF-9050-739CA75E50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Amith Banga</dc:creator>
  <cp:lastModifiedBy>Amith Banga</cp:lastModifiedBy>
  <dcterms:created xsi:type="dcterms:W3CDTF">2026-03-31T20:38:42Z</dcterms:created>
  <dcterms:modified xsi:type="dcterms:W3CDTF">2026-04-01T23:46:04Z</dcterms:modified>
</cp:coreProperties>
</file>